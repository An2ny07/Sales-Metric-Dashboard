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tebook\Downloads\"/>
    </mc:Choice>
  </mc:AlternateContent>
  <xr:revisionPtr revIDLastSave="0" documentId="13_ncr:1_{AE57E640-0185-4C0A-9834-C31F29D3C90C}" xr6:coauthVersionLast="47" xr6:coauthVersionMax="47" xr10:uidLastSave="{00000000-0000-0000-0000-000000000000}"/>
  <bookViews>
    <workbookView xWindow="-110" yWindow="-110" windowWidth="21820" windowHeight="14020" activeTab="1" xr2:uid="{00000000-000D-0000-FFFF-FFFF00000000}"/>
  </bookViews>
  <sheets>
    <sheet name="Dataset" sheetId="1" r:id="rId1"/>
    <sheet name="Analysis" sheetId="2" r:id="rId2"/>
    <sheet name="Visualization" sheetId="3" r:id="rId3"/>
  </sheets>
  <definedNames>
    <definedName name="_xlnm._FilterDatabase" localSheetId="0" hidden="1">Dataset!$A$1:$N$501</definedName>
    <definedName name="_xlcn.WorksheetConnection_DatasetA1N5511" hidden="1">Dataset!$A$1:$N$551</definedName>
    <definedName name="Timeline_Date">#N/A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5" r:id="rId9"/>
      </x15:timelineCachePivotCaches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FCE2AD5D-F65C-4FA6-A056-5C36A1767C68}">
      <x15:dataModel>
        <x15:modelTables>
          <x15:modelTable id="Range" name="Range" connection="WorksheetConnection_Dataset!$A$1:$N$551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7" i="2" l="1"/>
  <c r="F22" i="2"/>
  <c r="F21" i="2"/>
  <c r="F20" i="2"/>
  <c r="F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4D2B7C-C9E9-44BB-AFFB-6C17E605F8C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762ABFA5-1E2F-4822-B7BE-91407DAA9C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7B1C881-F030-4EA0-ABBE-8699B5687AEF}" name="WorksheetConnection_Dataset!$A$1:$N$55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setA1N55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Range].[Region].[All]}"/>
    <s v="{[Range].[Category].[All]}"/>
    <s v="{[Range].[Month].[All]}"/>
    <s v="{[Range].[Product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<sst xmlns="http://schemas.openxmlformats.org/spreadsheetml/2006/main" count="4121" uniqueCount="509">
  <si>
    <t>OrderID</t>
  </si>
  <si>
    <t>Date</t>
  </si>
  <si>
    <t>Product</t>
  </si>
  <si>
    <t>Category</t>
  </si>
  <si>
    <t>Region</t>
  </si>
  <si>
    <t>Customer</t>
  </si>
  <si>
    <t>OrderType</t>
  </si>
  <si>
    <t>UnitsSold</t>
  </si>
  <si>
    <t>UnitPrice</t>
  </si>
  <si>
    <t>Cost</t>
  </si>
  <si>
    <t>Revenue</t>
  </si>
  <si>
    <t>Profit</t>
  </si>
  <si>
    <t>Month</t>
  </si>
  <si>
    <t>Quarter</t>
  </si>
  <si>
    <t>ORD1427</t>
  </si>
  <si>
    <t>ORD1118</t>
  </si>
  <si>
    <t>ORD1252</t>
  </si>
  <si>
    <t>ORD1135</t>
  </si>
  <si>
    <t>ORD1292</t>
  </si>
  <si>
    <t>ORD1169</t>
  </si>
  <si>
    <t>ORD1231</t>
  </si>
  <si>
    <t>ORD1114</t>
  </si>
  <si>
    <t>ORD1262</t>
  </si>
  <si>
    <t>ORD1183</t>
  </si>
  <si>
    <t>ORD1379</t>
  </si>
  <si>
    <t>ORD1129</t>
  </si>
  <si>
    <t>ORD1457</t>
  </si>
  <si>
    <t>ORD1287</t>
  </si>
  <si>
    <t>ORD1334</t>
  </si>
  <si>
    <t>ORD1232</t>
  </si>
  <si>
    <t>ORD1356</t>
  </si>
  <si>
    <t>ORD1171</t>
  </si>
  <si>
    <t>ORD1443</t>
  </si>
  <si>
    <t>ORD1359</t>
  </si>
  <si>
    <t>ORD1211</t>
  </si>
  <si>
    <t>ORD1497</t>
  </si>
  <si>
    <t>ORD1329</t>
  </si>
  <si>
    <t>ORD1243</t>
  </si>
  <si>
    <t>ORD1297</t>
  </si>
  <si>
    <t>ORD1491</t>
  </si>
  <si>
    <t>ORD1299</t>
  </si>
  <si>
    <t>ORD1141</t>
  </si>
  <si>
    <t>ORD1151</t>
  </si>
  <si>
    <t>ORD1173</t>
  </si>
  <si>
    <t>ORD1143</t>
  </si>
  <si>
    <t>ORD1442</t>
  </si>
  <si>
    <t>ORD1164</t>
  </si>
  <si>
    <t>ORD1394</t>
  </si>
  <si>
    <t>ORD1459</t>
  </si>
  <si>
    <t>ORD1452</t>
  </si>
  <si>
    <t>ORD1276</t>
  </si>
  <si>
    <t>ORD1132</t>
  </si>
  <si>
    <t>ORD1479</t>
  </si>
  <si>
    <t>ORD1372</t>
  </si>
  <si>
    <t>ORD1121</t>
  </si>
  <si>
    <t>ORD1332</t>
  </si>
  <si>
    <t>ORD1357</t>
  </si>
  <si>
    <t>ORD1464</t>
  </si>
  <si>
    <t>ORD1451</t>
  </si>
  <si>
    <t>ORD1311</t>
  </si>
  <si>
    <t>ORD1294</t>
  </si>
  <si>
    <t>ORD1267</t>
  </si>
  <si>
    <t>ORD1433</t>
  </si>
  <si>
    <t>ORD1283</t>
  </si>
  <si>
    <t>ORD1223</t>
  </si>
  <si>
    <t>ORD1124</t>
  </si>
  <si>
    <t>ORD1365</t>
  </si>
  <si>
    <t>ORD1346</t>
  </si>
  <si>
    <t>ORD1363</t>
  </si>
  <si>
    <t>ORD1495</t>
  </si>
  <si>
    <t>ORD1264</t>
  </si>
  <si>
    <t>ORD1116</t>
  </si>
  <si>
    <t>ORD1199</t>
  </si>
  <si>
    <t>ORD1478</t>
  </si>
  <si>
    <t>ORD1237</t>
  </si>
  <si>
    <t>ORD1385</t>
  </si>
  <si>
    <t>ORD1348</t>
  </si>
  <si>
    <t>ORD1134</t>
  </si>
  <si>
    <t>ORD1268</t>
  </si>
  <si>
    <t>ORD1219</t>
  </si>
  <si>
    <t>ORD1428</t>
  </si>
  <si>
    <t>ORD1447</t>
  </si>
  <si>
    <t>ORD1473</t>
  </si>
  <si>
    <t>ORD1145</t>
  </si>
  <si>
    <t>ORD1249</t>
  </si>
  <si>
    <t>ORD1225</t>
  </si>
  <si>
    <t>ORD1343</t>
  </si>
  <si>
    <t>ORD1489</t>
  </si>
  <si>
    <t>ORD1388</t>
  </si>
  <si>
    <t>ORD1179</t>
  </si>
  <si>
    <t>ORD1236</t>
  </si>
  <si>
    <t>ORD1158</t>
  </si>
  <si>
    <t>ORD1327</t>
  </si>
  <si>
    <t>ORD1228</t>
  </si>
  <si>
    <t>ORD1337</t>
  </si>
  <si>
    <t>ORD1431</t>
  </si>
  <si>
    <t>ORD1285</t>
  </si>
  <si>
    <t>ORD1185</t>
  </si>
  <si>
    <t>ORD1119</t>
  </si>
  <si>
    <t>ORD1222</t>
  </si>
  <si>
    <t>ORD1393</t>
  </si>
  <si>
    <t>ORD1425</t>
  </si>
  <si>
    <t>ORD1298</t>
  </si>
  <si>
    <t>ORD1475</t>
  </si>
  <si>
    <t>ORD1142</t>
  </si>
  <si>
    <t>ORD1445</t>
  </si>
  <si>
    <t>ORD1416</t>
  </si>
  <si>
    <t>ORD1463</t>
  </si>
  <si>
    <t>ORD1418</t>
  </si>
  <si>
    <t>ORD1469</t>
  </si>
  <si>
    <t>ORD1486</t>
  </si>
  <si>
    <t>ORD1392</t>
  </si>
  <si>
    <t>ORD1435</t>
  </si>
  <si>
    <t>ORD1361</t>
  </si>
  <si>
    <t>ORD1295</t>
  </si>
  <si>
    <t>ORD1172</t>
  </si>
  <si>
    <t>ORD1324</t>
  </si>
  <si>
    <t>ORD1439</t>
  </si>
  <si>
    <t>ORD1251</t>
  </si>
  <si>
    <t>ORD1328</t>
  </si>
  <si>
    <t>ORD1275</t>
  </si>
  <si>
    <t>ORD1284</t>
  </si>
  <si>
    <t>ORD1154</t>
  </si>
  <si>
    <t>ORD1355</t>
  </si>
  <si>
    <t>ORD1468</t>
  </si>
  <si>
    <t>ORD1155</t>
  </si>
  <si>
    <t>ORD1436</t>
  </si>
  <si>
    <t>ORD1126</t>
  </si>
  <si>
    <t>ORD1449</t>
  </si>
  <si>
    <t>ORD1162</t>
  </si>
  <si>
    <t>ORD1177</t>
  </si>
  <si>
    <t>ORD1458</t>
  </si>
  <si>
    <t>ORD1235</t>
  </si>
  <si>
    <t>ORD1318</t>
  </si>
  <si>
    <t>ORD1144</t>
  </si>
  <si>
    <t>ORD1175</t>
  </si>
  <si>
    <t>ORD1274</t>
  </si>
  <si>
    <t>ORD1466</t>
  </si>
  <si>
    <t>ORD1159</t>
  </si>
  <si>
    <t>ORD1233</t>
  </si>
  <si>
    <t>ORD1296</t>
  </si>
  <si>
    <t>ORD1454</t>
  </si>
  <si>
    <t>ORD1221</t>
  </si>
  <si>
    <t>ORD1483</t>
  </si>
  <si>
    <t>ORD1136</t>
  </si>
  <si>
    <t>ORD1377</t>
  </si>
  <si>
    <t>ORD1321</t>
  </si>
  <si>
    <t>ORD1461</t>
  </si>
  <si>
    <t>ORD1429</t>
  </si>
  <si>
    <t>ORD1242</t>
  </si>
  <si>
    <t>ORD1266</t>
  </si>
  <si>
    <t>ORD1492</t>
  </si>
  <si>
    <t>ORD1259</t>
  </si>
  <si>
    <t>ORD1395</t>
  </si>
  <si>
    <t>ORD1414</t>
  </si>
  <si>
    <t>ORD1315</t>
  </si>
  <si>
    <t>ORD1333</t>
  </si>
  <si>
    <t>ORD1245</t>
  </si>
  <si>
    <t>ORD1234</t>
  </si>
  <si>
    <t>ORD1389</t>
  </si>
  <si>
    <t>ORD1258</t>
  </si>
  <si>
    <t>ORD1448</t>
  </si>
  <si>
    <t>ORD1354</t>
  </si>
  <si>
    <t>ORD1195</t>
  </si>
  <si>
    <t>ORD1256</t>
  </si>
  <si>
    <t>ORD1263</t>
  </si>
  <si>
    <t>ORD1351</t>
  </si>
  <si>
    <t>ORD1186</t>
  </si>
  <si>
    <t>ORD1368</t>
  </si>
  <si>
    <t>ORD1194</t>
  </si>
  <si>
    <t>ORD1224</t>
  </si>
  <si>
    <t>ORD1133</t>
  </si>
  <si>
    <t>ORD1149</t>
  </si>
  <si>
    <t>ORD1415</t>
  </si>
  <si>
    <t>ORD1157</t>
  </si>
  <si>
    <t>ORD1397</t>
  </si>
  <si>
    <t>ORD1226</t>
  </si>
  <si>
    <t>ORD1387</t>
  </si>
  <si>
    <t>ORD1441</t>
  </si>
  <si>
    <t>ORD1257</t>
  </si>
  <si>
    <t>ORD1229</t>
  </si>
  <si>
    <t>ORD1438</t>
  </si>
  <si>
    <t>ORD1352</t>
  </si>
  <si>
    <t>ORD1477</t>
  </si>
  <si>
    <t>ORD1165</t>
  </si>
  <si>
    <t>ORD1345</t>
  </si>
  <si>
    <t>ORD1399</t>
  </si>
  <si>
    <t>ORD1176</t>
  </si>
  <si>
    <t>ORD1218</t>
  </si>
  <si>
    <t>ORD1371</t>
  </si>
  <si>
    <t>ORD1485</t>
  </si>
  <si>
    <t>ORD1156</t>
  </si>
  <si>
    <t>ORD1217</t>
  </si>
  <si>
    <t>ORD1488</t>
  </si>
  <si>
    <t>ORD1471</t>
  </si>
  <si>
    <t>ORD1349</t>
  </si>
  <si>
    <t>ORD1293</t>
  </si>
  <si>
    <t>ORD1214</t>
  </si>
  <si>
    <t>ORD1181</t>
  </si>
  <si>
    <t>ORD1369</t>
  </si>
  <si>
    <t>ORD1344</t>
  </si>
  <si>
    <t>ORD1376</t>
  </si>
  <si>
    <t>ORD1422</t>
  </si>
  <si>
    <t>ORD1196</t>
  </si>
  <si>
    <t>ORD1499</t>
  </si>
  <si>
    <t>ORD1117</t>
  </si>
  <si>
    <t>ORD1467</t>
  </si>
  <si>
    <t>ORD1139</t>
  </si>
  <si>
    <t>ORD1335</t>
  </si>
  <si>
    <t>ORD1375</t>
  </si>
  <si>
    <t>ORD1112</t>
  </si>
  <si>
    <t>ORD1123</t>
  </si>
  <si>
    <t>ORD1444</t>
  </si>
  <si>
    <t>ORD1412</t>
  </si>
  <si>
    <t>ORD1426</t>
  </si>
  <si>
    <t>ORD1374</t>
  </si>
  <si>
    <t>ORD1417</t>
  </si>
  <si>
    <t>ORD1147</t>
  </si>
  <si>
    <t>ORD1347</t>
  </si>
  <si>
    <t>ORD1319</t>
  </si>
  <si>
    <t>ORD1239</t>
  </si>
  <si>
    <t>ORD1487</t>
  </si>
  <si>
    <t>ORD1453</t>
  </si>
  <si>
    <t>ORD1336</t>
  </si>
  <si>
    <t>ORD1215</t>
  </si>
  <si>
    <t>ORD1484</t>
  </si>
  <si>
    <t>ORD1269</t>
  </si>
  <si>
    <t>ORD1288</t>
  </si>
  <si>
    <t>ORD1434</t>
  </si>
  <si>
    <t>ORD1338</t>
  </si>
  <si>
    <t>ORD1127</t>
  </si>
  <si>
    <t>ORD1424</t>
  </si>
  <si>
    <t>ORD1362</t>
  </si>
  <si>
    <t>ORD1191</t>
  </si>
  <si>
    <t>ORD1182</t>
  </si>
  <si>
    <t>ORD1174</t>
  </si>
  <si>
    <t>ORD1244</t>
  </si>
  <si>
    <t>ORD1339</t>
  </si>
  <si>
    <t>ORD1261</t>
  </si>
  <si>
    <t>ORD1437</t>
  </si>
  <si>
    <t>ORD1386</t>
  </si>
  <si>
    <t>ORD1455</t>
  </si>
  <si>
    <t>ORD1125</t>
  </si>
  <si>
    <t>ORD1166</t>
  </si>
  <si>
    <t>ORD1197</t>
  </si>
  <si>
    <t>ORD1423</t>
  </si>
  <si>
    <t>ORD1494</t>
  </si>
  <si>
    <t>ORD1193</t>
  </si>
  <si>
    <t>ORD1382</t>
  </si>
  <si>
    <t>ORD1291</t>
  </si>
  <si>
    <t>ORD1216</t>
  </si>
  <si>
    <t>ORD1413</t>
  </si>
  <si>
    <t>ORD1122</t>
  </si>
  <si>
    <t>ORD1152</t>
  </si>
  <si>
    <t>ORD1496</t>
  </si>
  <si>
    <t>ORD1272</t>
  </si>
  <si>
    <t>ORD1213</t>
  </si>
  <si>
    <t>ORD1138</t>
  </si>
  <si>
    <t>ORD1465</t>
  </si>
  <si>
    <t>ORD1254</t>
  </si>
  <si>
    <t>ORD1161</t>
  </si>
  <si>
    <t>ORD1286</t>
  </si>
  <si>
    <t>ORD1271</t>
  </si>
  <si>
    <t>ORD1148</t>
  </si>
  <si>
    <t>ORD1212</t>
  </si>
  <si>
    <t>ORD1227</t>
  </si>
  <si>
    <t>ORD1373</t>
  </si>
  <si>
    <t>ORD1378</t>
  </si>
  <si>
    <t>ORD1381</t>
  </si>
  <si>
    <t>ORD1184</t>
  </si>
  <si>
    <t>ORD1456</t>
  </si>
  <si>
    <t>ORD1189</t>
  </si>
  <si>
    <t>ORD1313</t>
  </si>
  <si>
    <t>ORD1342</t>
  </si>
  <si>
    <t>ORD1396</t>
  </si>
  <si>
    <t>ORD1462</t>
  </si>
  <si>
    <t>ORD1238</t>
  </si>
  <si>
    <t>ORD1419</t>
  </si>
  <si>
    <t>ORD1331</t>
  </si>
  <si>
    <t>ORD1316</t>
  </si>
  <si>
    <t>ORD1341</t>
  </si>
  <si>
    <t>ORD1178</t>
  </si>
  <si>
    <t>ORD1383</t>
  </si>
  <si>
    <t>ORD1421</t>
  </si>
  <si>
    <t>ORD1167</t>
  </si>
  <si>
    <t>ORD1137</t>
  </si>
  <si>
    <t>ORD1325</t>
  </si>
  <si>
    <t>ORD1187</t>
  </si>
  <si>
    <t>ORD1248</t>
  </si>
  <si>
    <t>ORD1312</t>
  </si>
  <si>
    <t>ORD1168</t>
  </si>
  <si>
    <t>ORD1317</t>
  </si>
  <si>
    <t>ORD1472</t>
  </si>
  <si>
    <t>ORD1253</t>
  </si>
  <si>
    <t>ORD1364</t>
  </si>
  <si>
    <t>ORD1278</t>
  </si>
  <si>
    <t>ORD1247</t>
  </si>
  <si>
    <t>ORD1432</t>
  </si>
  <si>
    <t>ORD1289</t>
  </si>
  <si>
    <t>ORD1322</t>
  </si>
  <si>
    <t>ORD1476</t>
  </si>
  <si>
    <t>ORD1481</t>
  </si>
  <si>
    <t>ORD1163</t>
  </si>
  <si>
    <t>ORD1188</t>
  </si>
  <si>
    <t>ORD1446</t>
  </si>
  <si>
    <t>ORD1282</t>
  </si>
  <si>
    <t>ORD1279</t>
  </si>
  <si>
    <t>ORD1366</t>
  </si>
  <si>
    <t>ORD1384</t>
  </si>
  <si>
    <t>ORD1482</t>
  </si>
  <si>
    <t>ORD1474</t>
  </si>
  <si>
    <t>ORD1493</t>
  </si>
  <si>
    <t>ORD1411</t>
  </si>
  <si>
    <t>ORD1111</t>
  </si>
  <si>
    <t>ORD1146</t>
  </si>
  <si>
    <t>ORD1367</t>
  </si>
  <si>
    <t>ORD1391</t>
  </si>
  <si>
    <t>ORD1241</t>
  </si>
  <si>
    <t>ORD1398</t>
  </si>
  <si>
    <t>ORD1131</t>
  </si>
  <si>
    <t>ORD1198</t>
  </si>
  <si>
    <t>ORD1281</t>
  </si>
  <si>
    <t>ORD1255</t>
  </si>
  <si>
    <t>ORD1353</t>
  </si>
  <si>
    <t>ORD1277</t>
  </si>
  <si>
    <t>ORD1192</t>
  </si>
  <si>
    <t>ORD1314</t>
  </si>
  <si>
    <t>ORD1265</t>
  </si>
  <si>
    <t>ORD1153</t>
  </si>
  <si>
    <t>ORD1113</t>
  </si>
  <si>
    <t>ORD1323</t>
  </si>
  <si>
    <t>ORD1115</t>
  </si>
  <si>
    <t>ORD1273</t>
  </si>
  <si>
    <t>ORD1358</t>
  </si>
  <si>
    <t>ORD1326</t>
  </si>
  <si>
    <t>ORD1128</t>
  </si>
  <si>
    <t>ORD1498</t>
  </si>
  <si>
    <t>ORD1246</t>
  </si>
  <si>
    <t>Highlighter</t>
  </si>
  <si>
    <t>Pencil</t>
  </si>
  <si>
    <t>Eraser</t>
  </si>
  <si>
    <t>Pen</t>
  </si>
  <si>
    <t>Ruler</t>
  </si>
  <si>
    <t>Notebook</t>
  </si>
  <si>
    <t>Folder</t>
  </si>
  <si>
    <t>Marker</t>
  </si>
  <si>
    <t>Office Supplies</t>
  </si>
  <si>
    <t>Stationery</t>
  </si>
  <si>
    <t>Stationary</t>
  </si>
  <si>
    <t>Office supply</t>
  </si>
  <si>
    <t>Paper Goods</t>
  </si>
  <si>
    <t>North</t>
  </si>
  <si>
    <t>East</t>
  </si>
  <si>
    <t>South</t>
  </si>
  <si>
    <t>West</t>
  </si>
  <si>
    <t>Juan Dela Cruz</t>
  </si>
  <si>
    <t>Ana Santos</t>
  </si>
  <si>
    <t>Ella Cruz</t>
  </si>
  <si>
    <t>Maria Garcia</t>
  </si>
  <si>
    <t>John Lim</t>
  </si>
  <si>
    <t>Mark Reyes</t>
  </si>
  <si>
    <t>Paolo Dizon</t>
  </si>
  <si>
    <t>In-store</t>
  </si>
  <si>
    <t>Online</t>
  </si>
  <si>
    <t>March</t>
  </si>
  <si>
    <t>April</t>
  </si>
  <si>
    <t>January</t>
  </si>
  <si>
    <t>September</t>
  </si>
  <si>
    <t>May</t>
  </si>
  <si>
    <t>October</t>
  </si>
  <si>
    <t>June</t>
  </si>
  <si>
    <t>August</t>
  </si>
  <si>
    <t>July</t>
  </si>
  <si>
    <t>November</t>
  </si>
  <si>
    <t>February</t>
  </si>
  <si>
    <t>December</t>
  </si>
  <si>
    <t>Row Labels</t>
  </si>
  <si>
    <t>0</t>
  </si>
  <si>
    <t>Grand Total</t>
  </si>
  <si>
    <t>Sum of Revenue</t>
  </si>
  <si>
    <t>All</t>
  </si>
  <si>
    <t>-</t>
  </si>
  <si>
    <t>Total Sales per Product</t>
  </si>
  <si>
    <t>Monthly Sales Trend</t>
  </si>
  <si>
    <t>Column Labels</t>
  </si>
  <si>
    <t>Sales by Region</t>
  </si>
  <si>
    <t>Sum of UnitsSold</t>
  </si>
  <si>
    <t>Jan</t>
  </si>
  <si>
    <t>Feb</t>
  </si>
  <si>
    <t>Mar</t>
  </si>
  <si>
    <t>Apr</t>
  </si>
  <si>
    <t>Top Selling Products</t>
  </si>
  <si>
    <t>Customer Performance</t>
  </si>
  <si>
    <t xml:space="preserve">KPI </t>
  </si>
  <si>
    <t>Total Revenue:</t>
  </si>
  <si>
    <t>Total Unit Sold:</t>
  </si>
  <si>
    <t>Average Sale per Order:</t>
  </si>
  <si>
    <t>Top Product &amp; Region:</t>
  </si>
  <si>
    <t>Sales Growth: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</si>
  <si>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</si>
  <si>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</si>
  <si>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</si>
  <si>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</si>
  <si>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</si>
  <si>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</si>
  <si>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</si>
  <si>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</si>
  <si>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</si>
  <si>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</si>
  <si>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</si>
  <si>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</si>
  <si>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</si>
  <si>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2025Q1</t>
  </si>
  <si>
    <t>2024Q2</t>
  </si>
  <si>
    <t>2024Q1</t>
  </si>
  <si>
    <t>2024Q3</t>
  </si>
  <si>
    <t>2024Q4</t>
  </si>
  <si>
    <t>2025Q2</t>
  </si>
  <si>
    <t>ORD13</t>
  </si>
  <si>
    <t>ORD171</t>
  </si>
  <si>
    <t>ORD163</t>
  </si>
  <si>
    <t>ORD11</t>
  </si>
  <si>
    <t>ORD186</t>
  </si>
  <si>
    <t>ORD131</t>
  </si>
  <si>
    <t>ORD125</t>
  </si>
  <si>
    <t>ORD145</t>
  </si>
  <si>
    <t>ORD143</t>
  </si>
  <si>
    <t>ORD148</t>
  </si>
  <si>
    <t>ORD116</t>
  </si>
  <si>
    <t>ORD146</t>
  </si>
  <si>
    <t>ORD138</t>
  </si>
  <si>
    <t>ORD128</t>
  </si>
  <si>
    <t>ORD149</t>
  </si>
  <si>
    <t>ORD151</t>
  </si>
  <si>
    <t>ORD122</t>
  </si>
  <si>
    <t>ORD141</t>
  </si>
  <si>
    <t>ORD189</t>
  </si>
  <si>
    <t>ORD134</t>
  </si>
  <si>
    <t>ORD176</t>
  </si>
  <si>
    <t>ORD12</t>
  </si>
  <si>
    <t>ORD154</t>
  </si>
  <si>
    <t>ORD185</t>
  </si>
  <si>
    <t>ORD117</t>
  </si>
  <si>
    <t>ORD135</t>
  </si>
  <si>
    <t>ORD155</t>
  </si>
  <si>
    <t>ORD136</t>
  </si>
  <si>
    <t>ORD124</t>
  </si>
  <si>
    <t>ORD159</t>
  </si>
  <si>
    <t>ORD17</t>
  </si>
  <si>
    <t>ORD113</t>
  </si>
  <si>
    <t>ORD193</t>
  </si>
  <si>
    <t>ORD174</t>
  </si>
  <si>
    <t>ORD16</t>
  </si>
  <si>
    <t>ORD133</t>
  </si>
  <si>
    <t>ORD119</t>
  </si>
  <si>
    <t>ORD112</t>
  </si>
  <si>
    <t>ORD191</t>
  </si>
  <si>
    <t>ORD121</t>
  </si>
  <si>
    <t>ORD192</t>
  </si>
  <si>
    <t>ORD184</t>
  </si>
  <si>
    <t>ORD114</t>
  </si>
  <si>
    <t>ORD126</t>
  </si>
  <si>
    <t>ORD115</t>
  </si>
  <si>
    <t>ORD1</t>
  </si>
  <si>
    <t>ORD167</t>
  </si>
  <si>
    <t>ORD144</t>
  </si>
  <si>
    <t>ORD127</t>
  </si>
  <si>
    <t>ORD123</t>
  </si>
  <si>
    <t>ORD111</t>
  </si>
  <si>
    <t>ORD19</t>
  </si>
  <si>
    <t>ORD137</t>
  </si>
  <si>
    <t>ORD166</t>
  </si>
  <si>
    <t>ORD165</t>
  </si>
  <si>
    <t>ORD129</t>
  </si>
  <si>
    <t>ORD173</t>
  </si>
  <si>
    <t>ORD197</t>
  </si>
  <si>
    <t>ORD15</t>
  </si>
  <si>
    <t>ORD161</t>
  </si>
  <si>
    <t>ORD178</t>
  </si>
  <si>
    <t>ORD118</t>
  </si>
  <si>
    <t>ORD132</t>
  </si>
  <si>
    <t>ORD156</t>
  </si>
  <si>
    <t>ORD14</t>
  </si>
  <si>
    <t>ORD196</t>
  </si>
  <si>
    <t>ORD152</t>
  </si>
  <si>
    <t>ORD182</t>
  </si>
  <si>
    <t>ORD194</t>
  </si>
  <si>
    <t>ORD188</t>
  </si>
  <si>
    <t>ORD179</t>
  </si>
  <si>
    <t>ORD147</t>
  </si>
  <si>
    <t>ORD177</t>
  </si>
  <si>
    <t>ORD142</t>
  </si>
  <si>
    <t>ORD199</t>
  </si>
  <si>
    <t>ORD164</t>
  </si>
  <si>
    <t>ORD168</t>
  </si>
  <si>
    <t>ORD175</t>
  </si>
  <si>
    <t>ORD162</t>
  </si>
  <si>
    <t>ORD169</t>
  </si>
  <si>
    <t>ORD172</t>
  </si>
  <si>
    <t>ORD195</t>
  </si>
  <si>
    <t>ORD187</t>
  </si>
  <si>
    <t>ORD18</t>
  </si>
  <si>
    <t>ORD158</t>
  </si>
  <si>
    <t>ORD139</t>
  </si>
  <si>
    <t>ORD153</t>
  </si>
  <si>
    <t>ORD183</t>
  </si>
  <si>
    <t>ORD198</t>
  </si>
  <si>
    <t>ORD157</t>
  </si>
  <si>
    <t>ORD181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</si>
</sst>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₱-3409]#,##0"/>
    <numFmt numFmtId="165" formatCode="[$-409]mmmm\-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DLaM Display"/>
    </font>
    <font>
      <sz val="12"/>
      <color theme="1"/>
      <name val="ADLaM Display"/>
    </font>
    <font>
      <sz val="16"/>
      <color theme="1"/>
      <name val="ADLaM Display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3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3" fontId="0" fillId="0" borderId="1" xfId="0" applyNumberFormat="1" applyBorder="1"/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3" fontId="0" fillId="2" borderId="1" xfId="0" applyNumberFormat="1" applyFill="1" applyBorder="1"/>
    <xf numFmtId="3" fontId="0" fillId="2" borderId="1" xfId="0" applyNumberFormat="1" applyFill="1" applyBorder="1" applyAlignment="1">
      <alignment horizontal="right"/>
    </xf>
    <xf numFmtId="165" fontId="0" fillId="0" borderId="1" xfId="0" applyNumberFormat="1" applyBorder="1" applyAlignment="1">
      <alignment horizontal="left"/>
    </xf>
    <xf numFmtId="0" fontId="0" fillId="0" borderId="5" xfId="0" applyBorder="1"/>
    <xf numFmtId="0" fontId="6" fillId="0" borderId="6" xfId="0" applyFont="1" applyBorder="1" applyAlignment="1">
      <alignment horizontal="centerContinuous"/>
    </xf>
    <xf numFmtId="164" fontId="1" fillId="0" borderId="2" xfId="1" applyNumberFormat="1" applyAlignment="1">
      <alignment horizont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" fontId="0" fillId="0" borderId="0" xfId="0" applyNumberForma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4" fontId="1" fillId="0" borderId="4" xfId="0" applyNumberFormat="1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left" vertical="center"/>
    </xf>
    <xf numFmtId="0" fontId="1" fillId="0" borderId="2" xfId="1" applyAlignment="1">
      <alignment horizontal="center"/>
    </xf>
    <xf numFmtId="0" fontId="5" fillId="0" borderId="2" xfId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Total" xfId="1" builtinId="25"/>
  </cellStyles>
  <dxfs count="9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right"/>
    </dxf>
    <dxf>
      <alignment horizontal="right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mmmm\-yy;@"/>
    </dxf>
    <dxf>
      <font>
        <sz val="11"/>
      </font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[$₱-3409]#,##0"/>
      <alignment horizontal="left" vertical="center" textRotation="0" wrapText="0" indent="0" justifyLastLine="0" shrinkToFit="0" readingOrder="0"/>
    </dxf>
    <dxf>
      <numFmt numFmtId="164" formatCode="[$₱-3409]#,##0"/>
      <alignment horizontal="left" vertical="center" textRotation="0" wrapText="0" indent="0" justifyLastLine="0" shrinkToFit="0" readingOrder="0"/>
    </dxf>
    <dxf>
      <numFmt numFmtId="164" formatCode="[$₱-3409]#,##0"/>
      <alignment horizontal="left" vertical="center" textRotation="0" wrapText="0" indent="0" justifyLastLine="0" shrinkToFit="0" readingOrder="0"/>
    </dxf>
    <dxf>
      <numFmt numFmtId="164" formatCode="[$₱-3409]#,##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m/d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₱-3409]#,##0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5" Type="http://schemas.openxmlformats.org/officeDocument/2006/relationships/sheetMetadata" Target="metadata.xml"/><Relationship Id="rId10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Metrics Dashboard.xlsx]Analysis!PivotTable2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4838145231846"/>
          <c:y val="0.17171296296296296"/>
          <c:w val="0.84318285214348199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Analysis!$E$5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Analysis!$D$6:$D$11</c:f>
              <c:strCache>
                <c:ptCount val="5"/>
                <c:pt idx="0">
                  <c:v>April</c:v>
                </c:pt>
                <c:pt idx="1">
                  <c:v>February</c:v>
                </c:pt>
                <c:pt idx="2">
                  <c:v>January</c:v>
                </c:pt>
                <c:pt idx="3">
                  <c:v>March</c:v>
                </c:pt>
                <c:pt idx="4">
                  <c:v>May</c:v>
                </c:pt>
              </c:strCache>
            </c:strRef>
          </c:cat>
          <c:val>
            <c:numRef>
              <c:f>Analysis!$E$6:$E$11</c:f>
              <c:numCache>
                <c:formatCode>#,##0</c:formatCode>
                <c:ptCount val="5"/>
                <c:pt idx="0">
                  <c:v>296386.39</c:v>
                </c:pt>
                <c:pt idx="1">
                  <c:v>249518.48</c:v>
                </c:pt>
                <c:pt idx="2">
                  <c:v>439235.92999999993</c:v>
                </c:pt>
                <c:pt idx="3">
                  <c:v>325154.31999999995</c:v>
                </c:pt>
                <c:pt idx="4">
                  <c:v>175601.94999999998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AE-4D28-BDBE-785A2E313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299231"/>
        <c:axId val="1907323231"/>
      </c:lineChart>
      <c:catAx>
        <c:axId val="1907299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323231"/>
        <c:crosses val="autoZero"/>
        <c:auto val="1"/>
        <c:lblAlgn val="ctr"/>
        <c:lblOffset val="100"/>
        <c:noMultiLvlLbl val="0"/>
      </c:catAx>
      <c:valAx>
        <c:axId val="190732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29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Metrics Dashboard.xlsx]Analysis!PivotTable1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Analysis!$A$6:$A$14</c:f>
              <c:strCache>
                <c:ptCount val="8"/>
                <c:pt idx="0">
                  <c:v>Eraser</c:v>
                </c:pt>
                <c:pt idx="1">
                  <c:v>Folder</c:v>
                </c:pt>
                <c:pt idx="2">
                  <c:v>Highlighter</c:v>
                </c:pt>
                <c:pt idx="3">
                  <c:v>Marker</c:v>
                </c:pt>
                <c:pt idx="4">
                  <c:v>Notebook</c:v>
                </c:pt>
                <c:pt idx="5">
                  <c:v>Pen</c:v>
                </c:pt>
                <c:pt idx="6">
                  <c:v>Pencil</c:v>
                </c:pt>
                <c:pt idx="7">
                  <c:v>Ruler</c:v>
                </c:pt>
              </c:strCache>
            </c:strRef>
          </c:cat>
          <c:val>
            <c:numRef>
              <c:f>Analysis!$B$6:$B$14</c:f>
              <c:numCache>
                <c:formatCode>#,##0</c:formatCode>
                <c:ptCount val="8"/>
                <c:pt idx="0">
                  <c:v>146051.41</c:v>
                </c:pt>
                <c:pt idx="1">
                  <c:v>246055.6</c:v>
                </c:pt>
                <c:pt idx="2">
                  <c:v>273269.47000000003</c:v>
                </c:pt>
                <c:pt idx="3">
                  <c:v>192643.3</c:v>
                </c:pt>
                <c:pt idx="4">
                  <c:v>100176.9</c:v>
                </c:pt>
                <c:pt idx="5">
                  <c:v>190974.97</c:v>
                </c:pt>
                <c:pt idx="6">
                  <c:v>251061.65</c:v>
                </c:pt>
                <c:pt idx="7">
                  <c:v>85663.76999999999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C9-4F41-A07A-546DC75E7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45837071"/>
        <c:axId val="1645839951"/>
      </c:barChart>
      <c:catAx>
        <c:axId val="1645837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839951"/>
        <c:crosses val="autoZero"/>
        <c:auto val="1"/>
        <c:lblAlgn val="ctr"/>
        <c:lblOffset val="100"/>
        <c:noMultiLvlLbl val="0"/>
      </c:catAx>
      <c:valAx>
        <c:axId val="164583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83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Metrics Dashboard.xlsx]Analysis!PivotTable3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>
        <c:manualLayout>
          <c:xMode val="edge"/>
          <c:yMode val="edge"/>
          <c:x val="0.3269421075096996"/>
          <c:y val="4.0437707599183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852459016393443E-2"/>
          <c:y val="5.0925925925925923E-2"/>
          <c:w val="0.7713394088034079"/>
          <c:h val="0.850269757946923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Analysis!$H$5:$H$6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Analysis!$G$7:$G$11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Analysis!$H$7:$H$11</c:f>
              <c:numCache>
                <c:formatCode>#,##0</c:formatCode>
                <c:ptCount val="4"/>
                <c:pt idx="1">
                  <c:v>22953.24</c:v>
                </c:pt>
                <c:pt idx="2">
                  <c:v>28605.72</c:v>
                </c:pt>
                <c:pt idx="3">
                  <c:v>44254.69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1-4130-8718-59A7B69D232B}"/>
            </c:ext>
          </c:extLst>
        </c:ser>
        <c:ser>
          <c:idx val="1"/>
          <c:order val="1"/>
          <c:tx>
            <c:strRef>
              <c:f>Analysis!$I$5:$I$6</c:f>
              <c:strCache>
                <c:ptCount val="1"/>
                <c:pt idx="0">
                  <c:v>Office Supplies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Analysis!$G$7:$G$11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Analysis!$I$7:$I$11</c:f>
              <c:numCache>
                <c:formatCode>#,##0</c:formatCode>
                <c:ptCount val="4"/>
                <c:pt idx="0">
                  <c:v>12035.04</c:v>
                </c:pt>
                <c:pt idx="1">
                  <c:v>122995.99</c:v>
                </c:pt>
                <c:pt idx="2">
                  <c:v>84221.110000000015</c:v>
                </c:pt>
                <c:pt idx="3">
                  <c:v>80621.38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1-4130-8718-59A7B69D232B}"/>
            </c:ext>
          </c:extLst>
        </c:ser>
        <c:ser>
          <c:idx val="2"/>
          <c:order val="2"/>
          <c:tx>
            <c:strRef>
              <c:f>Analysis!$J$5:$J$6</c:f>
              <c:strCache>
                <c:ptCount val="1"/>
                <c:pt idx="0">
                  <c:v>Office supply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Analysis!$G$7:$G$11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Analysis!$J$7:$J$11</c:f>
              <c:numCache>
                <c:formatCode>#,##0</c:formatCode>
                <c:ptCount val="4"/>
                <c:pt idx="0">
                  <c:v>45718.859999999993</c:v>
                </c:pt>
                <c:pt idx="1">
                  <c:v>24177.699999999997</c:v>
                </c:pt>
                <c:pt idx="2">
                  <c:v>68101.899999999994</c:v>
                </c:pt>
                <c:pt idx="3">
                  <c:v>50339.430000000008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01-4130-8718-59A7B69D232B}"/>
            </c:ext>
          </c:extLst>
        </c:ser>
        <c:ser>
          <c:idx val="3"/>
          <c:order val="3"/>
          <c:tx>
            <c:strRef>
              <c:f>Analysis!$K$5:$K$6</c:f>
              <c:strCache>
                <c:ptCount val="1"/>
                <c:pt idx="0">
                  <c:v>Paper Goods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Analysis!$G$7:$G$11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Analysis!$K$7:$K$11</c:f>
              <c:numCache>
                <c:formatCode>#,##0</c:formatCode>
                <c:ptCount val="4"/>
                <c:pt idx="0">
                  <c:v>81480.739999999991</c:v>
                </c:pt>
                <c:pt idx="1">
                  <c:v>31496.549999999996</c:v>
                </c:pt>
                <c:pt idx="2">
                  <c:v>29638.26</c:v>
                </c:pt>
                <c:pt idx="3">
                  <c:v>29561.910000000003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01-4130-8718-59A7B69D232B}"/>
            </c:ext>
          </c:extLst>
        </c:ser>
        <c:ser>
          <c:idx val="4"/>
          <c:order val="4"/>
          <c:tx>
            <c:strRef>
              <c:f>Analysis!$L$5:$L$6</c:f>
              <c:strCache>
                <c:ptCount val="1"/>
                <c:pt idx="0">
                  <c:v>Stationary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Analysis!$G$7:$G$11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Analysis!$L$7:$L$11</c:f>
              <c:numCache>
                <c:formatCode>#,##0</c:formatCode>
                <c:ptCount val="4"/>
                <c:pt idx="0">
                  <c:v>69654.509999999995</c:v>
                </c:pt>
                <c:pt idx="1">
                  <c:v>114927.32</c:v>
                </c:pt>
                <c:pt idx="2">
                  <c:v>223142.59</c:v>
                </c:pt>
                <c:pt idx="3">
                  <c:v>81619.600000000006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01-4130-8718-59A7B69D232B}"/>
            </c:ext>
          </c:extLst>
        </c:ser>
        <c:ser>
          <c:idx val="5"/>
          <c:order val="5"/>
          <c:tx>
            <c:strRef>
              <c:f>Analysis!$M$5:$M$6</c:f>
              <c:strCache>
                <c:ptCount val="1"/>
                <c:pt idx="0">
                  <c:v>Stationery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Analysis!$G$7:$G$11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Analysis!$M$7:$M$11</c:f>
              <c:numCache>
                <c:formatCode>#,##0</c:formatCode>
                <c:ptCount val="4"/>
                <c:pt idx="0">
                  <c:v>62990.299999999996</c:v>
                </c:pt>
                <c:pt idx="1">
                  <c:v>8466.4700000000012</c:v>
                </c:pt>
                <c:pt idx="2">
                  <c:v>72926.430000000008</c:v>
                </c:pt>
                <c:pt idx="3">
                  <c:v>95967.33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01-4130-8718-59A7B69D2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5825551"/>
        <c:axId val="1645814031"/>
      </c:barChart>
      <c:catAx>
        <c:axId val="1645825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814031"/>
        <c:crosses val="autoZero"/>
        <c:auto val="1"/>
        <c:lblAlgn val="ctr"/>
        <c:lblOffset val="100"/>
        <c:noMultiLvlLbl val="0"/>
      </c:catAx>
      <c:valAx>
        <c:axId val="16458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82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81110921551434"/>
          <c:y val="0.11730024111011822"/>
          <c:w val="0.21395386353799298"/>
          <c:h val="0.4939058959093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Metrics Dashboard.xlsx]Analysis!PivotTable4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Analysis!$Q$3:$Q$5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Analysis!$P$6:$P$14</c:f>
              <c:strCache>
                <c:ptCount val="8"/>
                <c:pt idx="0">
                  <c:v>Eraser</c:v>
                </c:pt>
                <c:pt idx="1">
                  <c:v>Folder</c:v>
                </c:pt>
                <c:pt idx="2">
                  <c:v>Highlighter</c:v>
                </c:pt>
                <c:pt idx="3">
                  <c:v>Marker</c:v>
                </c:pt>
                <c:pt idx="4">
                  <c:v>Notebook</c:v>
                </c:pt>
                <c:pt idx="5">
                  <c:v>Pen</c:v>
                </c:pt>
                <c:pt idx="6">
                  <c:v>Pencil</c:v>
                </c:pt>
                <c:pt idx="7">
                  <c:v>Ruler</c:v>
                </c:pt>
              </c:strCache>
            </c:strRef>
          </c:cat>
          <c:val>
            <c:numRef>
              <c:f>Analysis!$Q$6:$Q$14</c:f>
              <c:numCache>
                <c:formatCode>General</c:formatCode>
                <c:ptCount val="8"/>
                <c:pt idx="0">
                  <c:v>139</c:v>
                </c:pt>
                <c:pt idx="1">
                  <c:v>1395</c:v>
                </c:pt>
                <c:pt idx="2">
                  <c:v>698</c:v>
                </c:pt>
                <c:pt idx="3">
                  <c:v>578</c:v>
                </c:pt>
                <c:pt idx="4">
                  <c:v>236</c:v>
                </c:pt>
                <c:pt idx="5">
                  <c:v>929</c:v>
                </c:pt>
                <c:pt idx="6">
                  <c:v>631</c:v>
                </c:pt>
                <c:pt idx="7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8-4EBF-A510-CB09835F0BD2}"/>
            </c:ext>
          </c:extLst>
        </c:ser>
        <c:ser>
          <c:idx val="1"/>
          <c:order val="1"/>
          <c:tx>
            <c:strRef>
              <c:f>Analysis!$R$3:$R$5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Analysis!$P$6:$P$14</c:f>
              <c:strCache>
                <c:ptCount val="8"/>
                <c:pt idx="0">
                  <c:v>Eraser</c:v>
                </c:pt>
                <c:pt idx="1">
                  <c:v>Folder</c:v>
                </c:pt>
                <c:pt idx="2">
                  <c:v>Highlighter</c:v>
                </c:pt>
                <c:pt idx="3">
                  <c:v>Marker</c:v>
                </c:pt>
                <c:pt idx="4">
                  <c:v>Notebook</c:v>
                </c:pt>
                <c:pt idx="5">
                  <c:v>Pen</c:v>
                </c:pt>
                <c:pt idx="6">
                  <c:v>Pencil</c:v>
                </c:pt>
                <c:pt idx="7">
                  <c:v>Ruler</c:v>
                </c:pt>
              </c:strCache>
            </c:strRef>
          </c:cat>
          <c:val>
            <c:numRef>
              <c:f>Analysis!$R$6:$R$14</c:f>
              <c:numCache>
                <c:formatCode>General</c:formatCode>
                <c:ptCount val="8"/>
                <c:pt idx="0">
                  <c:v>506</c:v>
                </c:pt>
                <c:pt idx="1">
                  <c:v>1094</c:v>
                </c:pt>
                <c:pt idx="2">
                  <c:v>284</c:v>
                </c:pt>
                <c:pt idx="3">
                  <c:v>373</c:v>
                </c:pt>
                <c:pt idx="4">
                  <c:v>479</c:v>
                </c:pt>
                <c:pt idx="5">
                  <c:v>492</c:v>
                </c:pt>
                <c:pt idx="6">
                  <c:v>777</c:v>
                </c:pt>
                <c:pt idx="7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68-4EBF-A510-CB09835F0BD2}"/>
            </c:ext>
          </c:extLst>
        </c:ser>
        <c:ser>
          <c:idx val="2"/>
          <c:order val="2"/>
          <c:tx>
            <c:strRef>
              <c:f>Analysis!$S$3:$S$5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Analysis!$P$6:$P$14</c:f>
              <c:strCache>
                <c:ptCount val="8"/>
                <c:pt idx="0">
                  <c:v>Eraser</c:v>
                </c:pt>
                <c:pt idx="1">
                  <c:v>Folder</c:v>
                </c:pt>
                <c:pt idx="2">
                  <c:v>Highlighter</c:v>
                </c:pt>
                <c:pt idx="3">
                  <c:v>Marker</c:v>
                </c:pt>
                <c:pt idx="4">
                  <c:v>Notebook</c:v>
                </c:pt>
                <c:pt idx="5">
                  <c:v>Pen</c:v>
                </c:pt>
                <c:pt idx="6">
                  <c:v>Pencil</c:v>
                </c:pt>
                <c:pt idx="7">
                  <c:v>Ruler</c:v>
                </c:pt>
              </c:strCache>
            </c:strRef>
          </c:cat>
          <c:val>
            <c:numRef>
              <c:f>Analysis!$S$6:$S$14</c:f>
              <c:numCache>
                <c:formatCode>General</c:formatCode>
                <c:ptCount val="8"/>
                <c:pt idx="0">
                  <c:v>757</c:v>
                </c:pt>
                <c:pt idx="1">
                  <c:v>321</c:v>
                </c:pt>
                <c:pt idx="2">
                  <c:v>1223</c:v>
                </c:pt>
                <c:pt idx="3">
                  <c:v>592</c:v>
                </c:pt>
                <c:pt idx="4">
                  <c:v>255</c:v>
                </c:pt>
                <c:pt idx="5">
                  <c:v>603</c:v>
                </c:pt>
                <c:pt idx="6">
                  <c:v>581</c:v>
                </c:pt>
                <c:pt idx="7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68-4EBF-A510-CB09835F0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218175"/>
        <c:axId val="1229201375"/>
      </c:barChart>
      <c:lineChart>
        <c:grouping val="standard"/>
        <c:varyColors val="0"/>
        <c:ser>
          <c:idx val="3"/>
          <c:order val="3"/>
          <c:tx>
            <c:strRef>
              <c:f>Analysis!$T$3:$T$5</c:f>
              <c:strCache>
                <c:ptCount val="1"/>
                <c:pt idx="0">
                  <c:v>Apr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Analysis!$P$6:$P$14</c:f>
              <c:strCache>
                <c:ptCount val="8"/>
                <c:pt idx="0">
                  <c:v>Eraser</c:v>
                </c:pt>
                <c:pt idx="1">
                  <c:v>Folder</c:v>
                </c:pt>
                <c:pt idx="2">
                  <c:v>Highlighter</c:v>
                </c:pt>
                <c:pt idx="3">
                  <c:v>Marker</c:v>
                </c:pt>
                <c:pt idx="4">
                  <c:v>Notebook</c:v>
                </c:pt>
                <c:pt idx="5">
                  <c:v>Pen</c:v>
                </c:pt>
                <c:pt idx="6">
                  <c:v>Pencil</c:v>
                </c:pt>
                <c:pt idx="7">
                  <c:v>Ruler</c:v>
                </c:pt>
              </c:strCache>
            </c:strRef>
          </c:cat>
          <c:val>
            <c:numRef>
              <c:f>Analysis!$T$6:$T$14</c:f>
              <c:numCache>
                <c:formatCode>General</c:formatCode>
                <c:ptCount val="8"/>
                <c:pt idx="0">
                  <c:v>509</c:v>
                </c:pt>
                <c:pt idx="1">
                  <c:v>733</c:v>
                </c:pt>
                <c:pt idx="2">
                  <c:v>933</c:v>
                </c:pt>
                <c:pt idx="3">
                  <c:v>364</c:v>
                </c:pt>
                <c:pt idx="4">
                  <c:v>298</c:v>
                </c:pt>
                <c:pt idx="5">
                  <c:v>56</c:v>
                </c:pt>
                <c:pt idx="6">
                  <c:v>976</c:v>
                </c:pt>
                <c:pt idx="7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68-4EBF-A510-CB09835F0BD2}"/>
            </c:ext>
          </c:extLst>
        </c:ser>
        <c:ser>
          <c:idx val="4"/>
          <c:order val="4"/>
          <c:tx>
            <c:strRef>
              <c:f>Analysis!$U$3:$U$5</c:f>
              <c:strCache>
                <c:ptCount val="1"/>
                <c:pt idx="0">
                  <c:v>May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Analysis!$P$6:$P$14</c:f>
              <c:strCache>
                <c:ptCount val="8"/>
                <c:pt idx="0">
                  <c:v>Eraser</c:v>
                </c:pt>
                <c:pt idx="1">
                  <c:v>Folder</c:v>
                </c:pt>
                <c:pt idx="2">
                  <c:v>Highlighter</c:v>
                </c:pt>
                <c:pt idx="3">
                  <c:v>Marker</c:v>
                </c:pt>
                <c:pt idx="4">
                  <c:v>Notebook</c:v>
                </c:pt>
                <c:pt idx="5">
                  <c:v>Pen</c:v>
                </c:pt>
                <c:pt idx="6">
                  <c:v>Pencil</c:v>
                </c:pt>
                <c:pt idx="7">
                  <c:v>Ruler</c:v>
                </c:pt>
              </c:strCache>
            </c:strRef>
          </c:cat>
          <c:val>
            <c:numRef>
              <c:f>Analysis!$U$6:$U$14</c:f>
              <c:numCache>
                <c:formatCode>General</c:formatCode>
                <c:ptCount val="8"/>
                <c:pt idx="0">
                  <c:v>297</c:v>
                </c:pt>
                <c:pt idx="1">
                  <c:v>399</c:v>
                </c:pt>
                <c:pt idx="2">
                  <c:v>294</c:v>
                </c:pt>
                <c:pt idx="3">
                  <c:v>180</c:v>
                </c:pt>
                <c:pt idx="4">
                  <c:v>738</c:v>
                </c:pt>
                <c:pt idx="5">
                  <c:v>261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68-4EBF-A510-CB09835F0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35455"/>
        <c:axId val="1229243615"/>
      </c:lineChart>
      <c:catAx>
        <c:axId val="122921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01375"/>
        <c:crosses val="autoZero"/>
        <c:auto val="1"/>
        <c:lblAlgn val="ctr"/>
        <c:lblOffset val="100"/>
        <c:noMultiLvlLbl val="0"/>
      </c:catAx>
      <c:valAx>
        <c:axId val="122920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8175"/>
        <c:crosses val="autoZero"/>
        <c:crossBetween val="between"/>
      </c:valAx>
      <c:valAx>
        <c:axId val="122924361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35455"/>
        <c:crosses val="max"/>
        <c:crossBetween val="between"/>
      </c:valAx>
      <c:catAx>
        <c:axId val="12292354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92436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952500</xdr:colOff>
      <xdr:row>15</xdr:row>
      <xdr:rowOff>165100</xdr:rowOff>
    </xdr:from>
    <xdr:to>
      <xdr:col>10</xdr:col>
      <xdr:colOff>482600</xdr:colOff>
      <xdr:row>22</xdr:row>
      <xdr:rowOff>120650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80226DC0-1E05-118D-F6B3-E49BC0FB21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92850" y="29273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0</xdr:rowOff>
    </xdr:from>
    <xdr:to>
      <xdr:col>14</xdr:col>
      <xdr:colOff>584200</xdr:colOff>
      <xdr:row>31</xdr:row>
      <xdr:rowOff>57150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DC4F911-F185-3D6A-262C-BD889D6524D8}"/>
            </a:ext>
          </a:extLst>
        </xdr:cNvPr>
        <xdr:cNvSpPr/>
      </xdr:nvSpPr>
      <xdr:spPr>
        <a:xfrm>
          <a:off x="127000" y="0"/>
          <a:ext cx="8991600" cy="5765800"/>
        </a:xfrm>
        <a:prstGeom prst="rect">
          <a:avLst/>
        </a:prstGeom>
        <a:solidFill>
          <a:schemeClr val="tx2">
            <a:lumMod val="50000"/>
          </a:schemeClr>
        </a:solidFill>
        <a:ln>
          <a:solidFill>
            <a:schemeClr val="tx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>
              <a:latin typeface="Artifakt Element Black" panose="020B0A03050000020004" pitchFamily="34" charset="0"/>
              <a:ea typeface="Artifakt Element Black" panose="020B0A03050000020004" pitchFamily="34" charset="0"/>
              <a:cs typeface="ADLaM Display" panose="02010000000000000000" pitchFamily="2" charset="0"/>
            </a:rPr>
            <a:t>SALES DASHBOARD</a:t>
          </a:r>
        </a:p>
      </xdr:txBody>
    </xdr:sp>
    <xdr:clientData/>
  </xdr:twoCellAnchor>
  <xdr:twoCellAnchor>
    <xdr:from>
      <xdr:col>7</xdr:col>
      <xdr:colOff>279400</xdr:colOff>
      <xdr:row>3</xdr:row>
      <xdr:rowOff>44450</xdr:rowOff>
    </xdr:from>
    <xdr:to>
      <xdr:col>14</xdr:col>
      <xdr:colOff>425450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D93FD-FE4C-459F-83EC-6AB5E8308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241300</xdr:colOff>
      <xdr:row>3</xdr:row>
      <xdr:rowOff>50800</xdr:rowOff>
    </xdr:from>
    <xdr:to>
      <xdr:col>7</xdr:col>
      <xdr:colOff>139700</xdr:colOff>
      <xdr:row>16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A520D2-86A1-4764-9310-F0627836B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16</xdr:row>
      <xdr:rowOff>101600</xdr:rowOff>
    </xdr:from>
    <xdr:to>
      <xdr:col>7</xdr:col>
      <xdr:colOff>146049</xdr:colOff>
      <xdr:row>30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8149C3-FAB2-4E71-9CA0-D2BEBA1DC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279400</xdr:colOff>
      <xdr:row>16</xdr:row>
      <xdr:rowOff>88900</xdr:rowOff>
    </xdr:from>
    <xdr:to>
      <xdr:col>14</xdr:col>
      <xdr:colOff>419100</xdr:colOff>
      <xdr:row>30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C90150-5E01-4F4E-8B01-B9FE63D44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book" refreshedDate="45971.688273842592" backgroundQuery="1" createdVersion="8" refreshedVersion="8" minRefreshableVersion="3" recordCount="0" supportSubquery="1" supportAdvancedDrill="1" xr:uid="{39D21D33-EB55-4BC5-9920-A327F4847ABF}">
  <cacheSource type="external" connectionId="2"/>
  <cacheFields count="4">
    <cacheField name="[Range].[Region].[Region]" caption="Region" numFmtId="0" hierarchy="4" level="1">
      <sharedItems containsSemiMixedTypes="0" containsNonDate="0" containsString="0"/>
    </cacheField>
    <cacheField name="[Range].[Product].[Product]" caption="Product" numFmtId="0" hierarchy="2" level="1">
      <sharedItems count="8">
        <s v="Eraser"/>
        <s v="Folder"/>
        <s v="Highlighter"/>
        <s v="Marker"/>
        <s v="Notebook"/>
        <s v="Pen"/>
        <s v="Pencil"/>
        <s v="Ruler"/>
      </sharedItems>
    </cacheField>
    <cacheField name="[Measures].[Sum of Revenue]" caption="Sum of Revenue" numFmtId="0" hierarchy="18" level="32767"/>
    <cacheField name="[Range].[Date].[Date]" caption="Date" numFmtId="0" hierarchy="1" level="1">
      <sharedItems containsSemiMixedTypes="0" containsNonDate="0" containsString="0"/>
    </cacheField>
  </cacheFields>
  <cacheHierarchies count="20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3"/>
      </fieldsUsage>
    </cacheHierarchy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ustomer]" caption="Customer" attribute="1" defaultMemberUniqueName="[Range].[Customer].[All]" allUniqueName="[Range].[Customer].[All]" dimensionUniqueName="[Range]" displayFolder="" count="0" memberValueDatatype="130" unbalanced="0"/>
    <cacheHierarchy uniqueName="[Range].[OrderType]" caption="OrderType" attribute="1" defaultMemberUniqueName="[Range].[OrderType].[All]" allUniqueName="[Range].[OrderType].[All]" dimensionUniqueName="[Range]" displayFolder="" count="0" memberValueDatatype="130" unbalanced="0"/>
    <cacheHierarchy uniqueName="[Range].[UnitsSold]" caption="UnitsSold" attribute="1" defaultMemberUniqueName="[Range].[UnitsSold].[All]" allUniqueName="[Range].[UnitsSold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Quarter]" caption="Quarter" attribute="1" defaultMemberUniqueName="[Range].[Quarter].[All]" allUniqueName="[Range].[Quarte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UnitsSold]" caption="Sum of UnitsSol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book" refreshedDate="45971.688274305554" backgroundQuery="1" createdVersion="8" refreshedVersion="8" minRefreshableVersion="3" recordCount="0" supportSubquery="1" supportAdvancedDrill="1" xr:uid="{876C46F1-5364-420F-A725-63880E32F96B}">
  <cacheSource type="external" connectionId="2"/>
  <cacheFields count="5">
    <cacheField name="[Range].[Product].[Product]" caption="Product" numFmtId="0" hierarchy="2" level="1">
      <sharedItems count="9">
        <s v="0"/>
        <s v="Eraser"/>
        <s v="Folder"/>
        <s v="Highlighter"/>
        <s v="Marker"/>
        <s v="Notebook"/>
        <s v="Pen"/>
        <s v="Pencil"/>
        <s v="Ruler"/>
      </sharedItems>
    </cacheField>
    <cacheField name="[Measures].[Sum of Revenue]" caption="Sum of Revenue" numFmtId="0" hierarchy="18" level="32767"/>
    <cacheField name="[Range].[Month].[Month]" caption="Month" numFmtId="0" hierarchy="12" level="1">
      <sharedItems count="5">
        <s v="April"/>
        <s v="February"/>
        <s v="January"/>
        <s v="March"/>
        <s v="May"/>
      </sharedItems>
    </cacheField>
    <cacheField name="[Range].[Category].[Category]" caption="Category" numFmtId="0" hierarchy="3" level="1">
      <sharedItems containsSemiMixedTypes="0" containsNonDate="0" containsString="0"/>
    </cacheField>
    <cacheField name="[Range].[Date].[Date]" caption="Date" numFmtId="0" hierarchy="1" level="1">
      <sharedItems containsSemiMixedTypes="0" containsNonDate="0" containsString="0"/>
    </cacheField>
  </cacheFields>
  <cacheHierarchies count="20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4"/>
      </fieldsUsage>
    </cacheHierarchy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3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ustomer]" caption="Customer" attribute="1" defaultMemberUniqueName="[Range].[Customer].[All]" allUniqueName="[Range].[Customer].[All]" dimensionUniqueName="[Range]" displayFolder="" count="0" memberValueDatatype="130" unbalanced="0"/>
    <cacheHierarchy uniqueName="[Range].[OrderType]" caption="OrderType" attribute="1" defaultMemberUniqueName="[Range].[OrderType].[All]" allUniqueName="[Range].[OrderType].[All]" dimensionUniqueName="[Range]" displayFolder="" count="0" memberValueDatatype="130" unbalanced="0"/>
    <cacheHierarchy uniqueName="[Range].[UnitsSold]" caption="UnitsSold" attribute="1" defaultMemberUniqueName="[Range].[UnitsSold].[All]" allUniqueName="[Range].[UnitsSold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2"/>
      </fieldsUsage>
    </cacheHierarchy>
    <cacheHierarchy uniqueName="[Range].[Quarter]" caption="Quarter" attribute="1" defaultMemberUniqueName="[Range].[Quarter].[All]" allUniqueName="[Range].[Quarte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UnitsSold]" caption="Sum of UnitsSol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book" refreshedDate="45971.688274768516" backgroundQuery="1" createdVersion="8" refreshedVersion="8" minRefreshableVersion="3" recordCount="0" supportSubquery="1" supportAdvancedDrill="1" xr:uid="{961C891C-8B93-4E62-A006-D5E20F0865BF}">
  <cacheSource type="external" connectionId="2"/>
  <cacheFields count="6">
    <cacheField name="[Range].[Product].[Product]" caption="Product" numFmtId="0" hierarchy="2" level="1">
      <sharedItems count="9">
        <s v="0"/>
        <s v="Eraser"/>
        <s v="Folder"/>
        <s v="Highlighter"/>
        <s v="Marker"/>
        <s v="Notebook"/>
        <s v="Pen"/>
        <s v="Pencil"/>
        <s v="Ruler"/>
      </sharedItems>
    </cacheField>
    <cacheField name="[Measures].[Sum of Revenue]" caption="Sum of Revenue" numFmtId="0" hierarchy="18" level="32767"/>
    <cacheField name="[Range].[Region].[Region]" caption="Region" numFmtId="0" hierarchy="4" level="1">
      <sharedItems count="4">
        <s v="East"/>
        <s v="North"/>
        <s v="South"/>
        <s v="West"/>
      </sharedItems>
    </cacheField>
    <cacheField name="[Range].[Category].[Category]" caption="Category" numFmtId="0" hierarchy="3" level="1">
      <sharedItems count="6">
        <s v="0"/>
        <s v="Office Supplies"/>
        <s v="Office supply"/>
        <s v="Paper Goods"/>
        <s v="Stationary"/>
        <s v="Stationery"/>
      </sharedItems>
    </cacheField>
    <cacheField name="[Range].[Month].[Month]" caption="Month" numFmtId="0" hierarchy="12" level="1">
      <sharedItems containsSemiMixedTypes="0" containsNonDate="0" containsString="0"/>
    </cacheField>
    <cacheField name="[Range].[Date].[Date]" caption="Date" numFmtId="0" hierarchy="1" level="1">
      <sharedItems containsSemiMixedTypes="0" containsNonDate="0" containsString="0"/>
    </cacheField>
  </cacheFields>
  <cacheHierarchies count="20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5"/>
      </fieldsUsage>
    </cacheHierarchy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3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ustomer]" caption="Customer" attribute="1" defaultMemberUniqueName="[Range].[Customer].[All]" allUniqueName="[Range].[Customer].[All]" dimensionUniqueName="[Range]" displayFolder="" count="0" memberValueDatatype="130" unbalanced="0"/>
    <cacheHierarchy uniqueName="[Range].[OrderType]" caption="OrderType" attribute="1" defaultMemberUniqueName="[Range].[OrderType].[All]" allUniqueName="[Range].[OrderType].[All]" dimensionUniqueName="[Range]" displayFolder="" count="0" memberValueDatatype="130" unbalanced="0"/>
    <cacheHierarchy uniqueName="[Range].[UnitsSold]" caption="UnitsSold" attribute="1" defaultMemberUniqueName="[Range].[UnitsSold].[All]" allUniqueName="[Range].[UnitsSold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4"/>
      </fieldsUsage>
    </cacheHierarchy>
    <cacheHierarchy uniqueName="[Range].[Quarter]" caption="Quarter" attribute="1" defaultMemberUniqueName="[Range].[Quarter].[All]" allUniqueName="[Range].[Quarte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UnitsSold]" caption="Sum of UnitsSol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book" refreshedDate="45971.688275231485" backgroundQuery="1" createdVersion="8" refreshedVersion="8" minRefreshableVersion="3" recordCount="0" supportSubquery="1" supportAdvancedDrill="1" xr:uid="{3D54DC6B-E31E-45DE-AFF3-F373BB1CC193}">
  <cacheSource type="external" connectionId="2"/>
  <cacheFields count="4">
    <cacheField name="[Range].[Product].[Product]" caption="Product" numFmtId="0" hierarchy="2" level="1">
      <sharedItems count="8">
        <s v="Eraser"/>
        <s v="Folder"/>
        <s v="Highlighter"/>
        <s v="Marker"/>
        <s v="Notebook"/>
        <s v="Pen"/>
        <s v="Pencil"/>
        <s v="Ruler"/>
      </sharedItems>
    </cacheField>
    <cacheField name="[Range].[Date].[Date]" caption="Date" numFmtId="0" hierarchy="1" level="1">
      <sharedItems containsSemiMixedTypes="0" containsNonDate="0" containsDate="1" containsString="0" minDate="2025-01-01T00:00:00" maxDate="2025-02-01T00:00:00" count="3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</sharedItems>
    </cacheField>
    <cacheField name="[Measures].[Sum of UnitsSold]" caption="Sum of UnitsSold" numFmtId="0" hierarchy="19" level="32767"/>
    <cacheField name="[Range].[Date (Month)].[Date (Month)]" caption="Date (Month)" numFmtId="0" hierarchy="14" level="1">
      <sharedItems count="5">
        <s v="Jan"/>
        <s v="Feb"/>
        <s v="Mar"/>
        <s v="Apr"/>
        <s v="May"/>
      </sharedItems>
    </cacheField>
  </cacheFields>
  <cacheHierarchies count="20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1"/>
      </fieldsUsage>
    </cacheHierarchy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ustomer]" caption="Customer" attribute="1" defaultMemberUniqueName="[Range].[Customer].[All]" allUniqueName="[Range].[Customer].[All]" dimensionUniqueName="[Range]" displayFolder="" count="0" memberValueDatatype="130" unbalanced="0"/>
    <cacheHierarchy uniqueName="[Range].[OrderType]" caption="OrderType" attribute="1" defaultMemberUniqueName="[Range].[OrderType].[All]" allUniqueName="[Range].[OrderType].[All]" dimensionUniqueName="[Range]" displayFolder="" count="0" memberValueDatatype="130" unbalanced="0"/>
    <cacheHierarchy uniqueName="[Range].[UnitsSold]" caption="UnitsSold" attribute="1" defaultMemberUniqueName="[Range].[UnitsSold].[All]" allUniqueName="[Range].[UnitsSold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Quarter]" caption="Quarter" attribute="1" defaultMemberUniqueName="[Range].[Quarter].[All]" allUniqueName="[Range].[Quarte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UnitsSold]" caption="Sum of UnitsSol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book" refreshedDate="45971.688275810186" backgroundQuery="1" createdVersion="8" refreshedVersion="8" minRefreshableVersion="3" recordCount="0" supportSubquery="1" supportAdvancedDrill="1" xr:uid="{BAFA64BC-2AF7-4077-B79A-1712040C2C7E}">
  <cacheSource type="external" connectionId="2"/>
  <cacheFields count="7">
    <cacheField name="[Range].[Product].[Product]" caption="Product" numFmtId="0" hierarchy="2" level="1">
      <sharedItems containsSemiMixedTypes="0" containsNonDate="0" containsString="0"/>
    </cacheField>
    <cacheField name="[Range].[Date].[Date]" caption="Date" numFmtId="0" hierarchy="1" level="1">
      <sharedItems containsSemiMixedTypes="0" containsNonDate="0" containsDate="1" containsString="0" minDate="2025-01-01T00:00:00" maxDate="2025-02-01T00:00:00" count="3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</sharedItems>
    </cacheField>
    <cacheField name="[Range].[Customer].[Customer]" caption="Customer" numFmtId="0" hierarchy="5" level="1">
      <sharedItems count="8">
        <s v="0"/>
        <s v="Ana Santos"/>
        <s v="Ella Cruz"/>
        <s v="John Lim"/>
        <s v="Juan Dela Cruz"/>
        <s v="Maria Garcia"/>
        <s v="Mark Reyes"/>
        <s v="Paolo Dizon"/>
      </sharedItems>
    </cacheField>
    <cacheField name="[Measures].[Sum of Revenue]" caption="Sum of Revenue" numFmtId="0" hierarchy="18" level="32767"/>
    <cacheField name="[Range].[Category].[Category]" caption="Category" numFmtId="0" hierarchy="3" level="1">
      <sharedItems containsSemiMixedTypes="0" containsNonDate="0" containsString="0"/>
    </cacheField>
    <cacheField name="[Range].[Region].[Region]" caption="Region" numFmtId="0" hierarchy="4" level="1">
      <sharedItems containsSemiMixedTypes="0" containsNonDate="0" containsString="0"/>
    </cacheField>
    <cacheField name="[Range].[Date (Month)].[Date (Month)]" caption="Date (Month)" numFmtId="0" hierarchy="14" level="1">
      <sharedItems count="5">
        <s v="Jan"/>
        <s v="Feb"/>
        <s v="Mar"/>
        <s v="Apr"/>
        <s v="May"/>
      </sharedItems>
    </cacheField>
  </cacheFields>
  <cacheHierarchies count="20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>
      <fieldsUsage count="2">
        <fieldUsage x="-1"/>
        <fieldUsage x="1"/>
      </fieldsUsage>
    </cacheHierarchy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4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5"/>
      </fieldsUsage>
    </cacheHierarchy>
    <cacheHierarchy uniqueName="[Range].[Customer]" caption="Customer" attribute="1" defaultMemberUniqueName="[Range].[Customer].[All]" allUniqueName="[Range].[Custome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OrderType]" caption="OrderType" attribute="1" defaultMemberUniqueName="[Range].[OrderType].[All]" allUniqueName="[Range].[OrderType].[All]" dimensionUniqueName="[Range]" displayFolder="" count="0" memberValueDatatype="130" unbalanced="0"/>
    <cacheHierarchy uniqueName="[Range].[UnitsSold]" caption="UnitsSold" attribute="1" defaultMemberUniqueName="[Range].[UnitsSold].[All]" allUniqueName="[Range].[UnitsSold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/>
    <cacheHierarchy uniqueName="[Range].[Quarter]" caption="Quarter" attribute="1" defaultMemberUniqueName="[Range].[Quarter].[All]" allUniqueName="[Range].[Quarter].[All]" dimensionUniqueName="[Range]" displayFolder="" count="2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6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UnitsSold]" caption="Sum of UnitsSol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book" refreshedDate="45971.638283217595" backgroundQuery="1" createdVersion="3" refreshedVersion="8" minRefreshableVersion="3" recordCount="0" supportSubquery="1" supportAdvancedDrill="1" xr:uid="{A933328F-EB04-46DA-B43C-59D2B2B9C9EE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0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ustomer]" caption="Customer" attribute="1" defaultMemberUniqueName="[Range].[Customer].[All]" allUniqueName="[Range].[Customer].[All]" dimensionUniqueName="[Range]" displayFolder="" count="0" memberValueDatatype="130" unbalanced="0"/>
    <cacheHierarchy uniqueName="[Range].[OrderType]" caption="OrderType" attribute="1" defaultMemberUniqueName="[Range].[OrderType].[All]" allUniqueName="[Range].[OrderType].[All]" dimensionUniqueName="[Range]" displayFolder="" count="0" memberValueDatatype="130" unbalanced="0"/>
    <cacheHierarchy uniqueName="[Range].[UnitsSold]" caption="UnitsSold" attribute="1" defaultMemberUniqueName="[Range].[UnitsSold].[All]" allUniqueName="[Range].[UnitsSold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Revenue]" caption="Revenue" attribute="1" defaultMemberUniqueName="[Range].[Revenue].[All]" allUniqueName="[Range].[Revenue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Month]" caption="Month" attribute="1" defaultMemberUniqueName="[Range].[Month].[All]" allUniqueName="[Range].[Month].[All]" dimensionUniqueName="[Range]" displayFolder="" count="0" memberValueDatatype="130" unbalanced="0"/>
    <cacheHierarchy uniqueName="[Range].[Quarter]" caption="Quarter" attribute="1" defaultMemberUniqueName="[Range].[Quarter].[All]" allUniqueName="[Range].[Quarter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UnitsSold]" caption="Sum of UnitsSold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97515079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3ABF8-063C-4244-8968-F174F6EA6E1B}" name="PivotTable4" cacheId="3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4" fieldListSortAscending="1" customListSort="0">
  <location ref="P3:V14" firstHeaderRow="1" firstDataRow="3" firstDataCol="1"/>
  <pivotFields count="4">
    <pivotField axis="axisRow" allDrilled="1" subtotalTop="0" showAll="0" measureFilter="1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dataField="1" subtotalTop="0" showAll="0" defaultSubtotal="0"/>
    <pivotField axis="axisCol" allDrilled="1" subtotalTop="0" showAll="0" dataSourceSort="1" defaultSubtotal="0">
      <items count="5">
        <item x="0" e="0"/>
        <item x="1" e="0"/>
        <item x="2" e="0"/>
        <item x="3" e="0"/>
        <item x="4" e="0"/>
      </items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"/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Sold" fld="2" baseField="0" baseItem="0"/>
  </dataFields>
  <formats count="12"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dataOnly="0" labelOnly="1" fieldPosition="0">
        <references count="1">
          <reference field="3" count="1">
            <x v="0"/>
          </reference>
        </references>
      </pivotArea>
    </format>
    <format dxfId="23">
      <pivotArea dataOnly="0" labelOnly="1" fieldPosition="0">
        <references count="1">
          <reference field="3" count="1">
            <x v="1"/>
          </reference>
        </references>
      </pivotArea>
    </format>
    <format dxfId="22">
      <pivotArea dataOnly="0" labelOnly="1" fieldPosition="0">
        <references count="1">
          <reference field="3" count="1">
            <x v="2"/>
          </reference>
        </references>
      </pivotArea>
    </format>
    <format dxfId="21">
      <pivotArea dataOnly="0" labelOnly="1" fieldPosition="0">
        <references count="1">
          <reference field="3" count="1">
            <x v="3"/>
          </reference>
        </references>
      </pivotArea>
    </format>
    <format dxfId="20">
      <pivotArea dataOnly="0" labelOnly="1" fieldPosition="0">
        <references count="1">
          <reference field="3" count="1">
            <x v="4"/>
          </reference>
        </references>
      </pivotArea>
    </format>
    <format dxfId="19">
      <pivotArea dataOnly="0" labelOnly="1" grandCol="1" outline="0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</formats>
  <conditionalFormats count="1"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2" showRowHeaders="1" showColHeaders="1" showRowStripes="0" showColStripes="0" showLastColumn="1"/>
  <filters count="2">
    <filter fld="1" type="dateBetween" evalOrder="-1" id="49" name="[Range].[Date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id="19" iMeasureHier="18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colHierarchiesUsage count="2">
    <colHierarchyUsage hierarchyUsage="14"/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N$5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16386-F33A-4D46-A084-9E7CEFED6B99}" name="PivotTable3" cacheId="2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45" fieldListSortAscending="1" customListSort="0">
  <location ref="G5:N11" firstHeaderRow="1" firstDataRow="2" firstDataCol="1" rowPageCount="1" colPageCount="1"/>
  <pivotFields count="6">
    <pivotField allDrilled="1" subtotalTop="0" showAll="0" measureFilter="1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hier="12" name="[Range].[Month].[All]" cap="All"/>
  </pageFields>
  <dataFields count="1">
    <dataField name="Sum of Revenue" fld="1" baseField="0" baseItem="0" numFmtId="3"/>
  </dataFields>
  <formats count="29"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3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3" count="0"/>
        </references>
      </pivotArea>
    </format>
    <format dxfId="44">
      <pivotArea dataOnly="0" labelOnly="1" grandCol="1" outline="0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3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2" type="button" dataOnly="0" labelOnly="1" outline="0" axis="axisRow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Col="1" outline="0" fieldPosition="0"/>
    </format>
    <format dxfId="33">
      <pivotArea type="origin" dataOnly="0" labelOnly="1" outline="0" fieldPosition="0"/>
    </format>
    <format dxfId="32">
      <pivotArea field="3" type="button" dataOnly="0" labelOnly="1" outline="0" axis="axisCol" fieldPosition="0"/>
    </format>
    <format dxfId="31">
      <pivotArea type="topRight" dataOnly="0" labelOnly="1" outline="0" fieldPosition="0"/>
    </format>
    <format dxfId="30">
      <pivotArea grandRow="1" outline="0" collapsedLevelsAreSubtotals="1" fieldPosition="0"/>
    </format>
    <format dxfId="29">
      <pivotArea dataOnly="0" labelOnly="1" grandRow="1" outline="0" fieldPosition="0"/>
    </format>
  </formats>
  <conditionalFormats count="2"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4">
              <x v="0"/>
              <x v="1"/>
              <x v="2"/>
              <x v="3"/>
            </reference>
            <reference field="3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4">
              <x v="0"/>
              <x v="1"/>
              <x v="2"/>
              <x v="3"/>
            </reference>
            <reference field="3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6">
    <chartFormat chart="3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5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5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2" showRowHeaders="1" showColHeaders="1" showRowStripes="0" showColStripes="0" showLastColumn="1"/>
  <filters count="2">
    <filter fld="5" type="dateBetween" evalOrder="-1" id="49" name="[Range].[Date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id="19" iMeasureHier="18">
      <autoFilter ref="A1">
        <filterColumn colId="0">
          <top10 val="10" filterVal="10"/>
        </filterColumn>
      </autoFilter>
    </filter>
  </filters>
  <rowHierarchiesUsage count="1">
    <rowHierarchyUsage hierarchyUsage="4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N$5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2EA0E-4598-4F97-A5DD-4E8E9BFA36C4}" name="PivotTable2" cacheId="1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24" fieldListSortAscending="1" customListSort="0">
  <location ref="D5:E11" firstHeaderRow="1" firstDataRow="1" firstDataCol="1" rowPageCount="1" colPageCount="1"/>
  <pivotFields count="5">
    <pivotField allDrilled="1" subtotalTop="0" showAll="0" measureFilter="1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3" name="[Range].[Category].[All]" cap="All"/>
  </pageFields>
  <dataFields count="1">
    <dataField name="Sum of Revenue" fld="1" baseField="0" baseItem="0" numFmtId="3"/>
  </dataFields>
  <formats count="9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2" type="button" dataOnly="0" labelOnly="1" outline="0" axis="axisRow" fieldPosition="0"/>
    </format>
    <format dxfId="63">
      <pivotArea dataOnly="0" labelOnly="1" fieldPosition="0">
        <references count="1">
          <reference field="2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  <format dxfId="60">
      <pivotArea dataOnly="0" grandRow="1" axis="axisRow" fieldPosition="0"/>
    </format>
    <format dxfId="59">
      <pivotArea dataOnly="0" labelOnly="1" fieldPosition="0">
        <references count="1">
          <reference field="2" count="0"/>
        </references>
      </pivotArea>
    </format>
    <format dxfId="58">
      <pivotArea dataOnly="0" labelOnly="1" fieldPosition="0">
        <references count="1">
          <reference field="2" count="0"/>
        </references>
      </pivotArea>
    </format>
  </formats>
  <conditionalFormats count="1">
    <conditionalFormat priority="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1"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2" showRowHeaders="1" showColHeaders="1" showRowStripes="0" showColStripes="0" showLastColumn="1"/>
  <filters count="2">
    <filter fld="4" type="dateBetween" evalOrder="-1" id="49" name="[Range].[Date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id="19" iMeasureHier="18">
      <autoFilter ref="A1">
        <filterColumn colId="0">
          <top10 val="10" filterVal="10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N$5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21351-3B94-480F-B68F-C5131DEDC8EF}" name="PivotTable1" cacheId="0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chartFormat="21" fieldListSortAscending="1" customListSort="0">
  <location ref="A5:B14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0" hier="4" name="[Range].[Region].[All]" cap="All"/>
  </pageFields>
  <dataFields count="1">
    <dataField name="Sum of Revenue" fld="2" baseField="0" baseItem="0" numFmtId="3"/>
  </dataFields>
  <formats count="14">
    <format dxfId="3">
      <pivotArea type="all" dataOnly="0" outline="0" fieldPosition="0"/>
    </format>
    <format dxfId="4">
      <pivotArea outline="0" collapsedLevelsAreSubtotals="1" fieldPosition="0"/>
    </format>
    <format dxfId="5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8">
      <pivotArea dataOnly="0" labelOnly="1" outline="0" axis="axisValues" fieldPosition="0"/>
    </format>
    <format dxfId="9">
      <pivotArea type="all" dataOnly="0" outline="0" fieldPosition="0"/>
    </format>
    <format dxfId="10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3">
      <pivotArea outline="0" collapsedLevelsAreSubtotals="1" fieldPosition="0"/>
    </format>
    <format dxfId="14">
      <pivotArea dataOnly="0" labelOnly="1" outline="0" axis="axisValues" fieldPosition="0"/>
    </format>
    <format dxfId="15">
      <pivotArea grandRow="1" outline="0" collapsedLevelsAreSubtotals="1" fieldPosition="0"/>
    </format>
    <format dxfId="16">
      <pivotArea dataOnly="0" labelOnly="1" grandRow="1" outline="0" fieldPosition="0"/>
    </format>
  </formats>
  <conditionalFormats count="1"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1"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2" showRowHeaders="1" showColHeaders="1" showRowStripes="0" showColStripes="0" showLastColumn="1"/>
  <filters count="2">
    <filter fld="3" type="dateBetween" evalOrder="-1" id="49" name="[Range].[Date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19" iMeasureHier="18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N$5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B5F74-03E0-4EDB-95EF-8DC8952DB6B1}" name="PivotTable5" cacheId="4" applyNumberFormats="0" applyBorderFormats="0" applyFontFormats="0" applyPatternFormats="0" applyAlignmentFormats="0" applyWidthHeightFormats="1" dataCaption="Values" updatedVersion="8" minRefreshableVersion="5" useAutoFormatting="1" subtotalHiddenItems="1" itemPrintTitles="1" createdVersion="8" indent="0" outline="1" outlineData="1" multipleFieldFilters="0" fieldListSortAscending="1" customListSort="0">
  <location ref="X7:AD17" firstHeaderRow="1" firstDataRow="2" firstDataCol="1" rowPageCount="3" colPageCount="1"/>
  <pivotFields count="7">
    <pivotField axis="axisPage" allDrilled="1" subtotalTop="0" showAll="0" dataSourceSort="1" defaultSubtotal="0" defaultAttributeDrillState="1"/>
    <pivotField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allDrilled="1" subtotalTop="0" showAll="0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3">
    <pageField fld="5" hier="4" name="[Range].[Region].[All]" cap="All"/>
    <pageField fld="0" hier="2" name="[Range].[Product].[All]" cap="All"/>
    <pageField fld="4" hier="3" name="[Range].[Category].[All]" cap="All"/>
  </pageFields>
  <dataFields count="1">
    <dataField name="Sum of Revenue" fld="3" baseField="0" baseItem="0" numFmtId="3"/>
  </dataFields>
  <formats count="8"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70">
      <pivotArea dataOnly="0" labelOnly="1" grandCol="1" outline="0" fieldPosition="0"/>
    </format>
    <format dxfId="69">
      <pivotArea grandRow="1" outline="0" collapsedLevelsAreSubtotals="1" fieldPosition="0"/>
    </format>
    <format dxfId="68">
      <pivotArea dataOnly="0" labelOnly="1" grandRow="1" outline="0" fieldPosition="0"/>
    </format>
    <format dxfId="67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8">
              <x v="0"/>
              <x v="1"/>
              <x v="2"/>
              <x v="3"/>
              <x v="4"/>
              <x v="5"/>
              <x v="6"/>
              <x v="7"/>
            </reference>
            <reference field="6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20"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2" showRowHeaders="1" showColHeaders="1" showRowStripes="0" showColStripes="0" showLastColumn="1"/>
  <filters count="1">
    <filter fld="1" type="dateBetween" evalOrder="-1" id="49" name="[Range].[Date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5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N$55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546A9-7962-411B-AC07-79DDE707C0B2}" name="Table1" displayName="Table1" ref="A1:N501" totalsRowShown="0" headerRowDxfId="92" dataDxfId="90" headerRowBorderDxfId="91" tableBorderDxfId="89">
  <autoFilter ref="A1:N501" xr:uid="{00000000-0001-0000-0000-000000000000}"/>
  <tableColumns count="14">
    <tableColumn id="1" xr3:uid="{0A638E4B-95C0-4A94-B700-1AD9B7658BD7}" name="OrderID" dataDxfId="88"/>
    <tableColumn id="2" xr3:uid="{43485508-9BE7-4D6F-9CE0-F56ABDFD3E3E}" name="Date" dataDxfId="87"/>
    <tableColumn id="3" xr3:uid="{A91D84C8-7ABA-48CA-A6EE-3050F4E0ED61}" name="Product" dataDxfId="86"/>
    <tableColumn id="4" xr3:uid="{6188A58C-F011-4168-A532-1F2E77C29C0E}" name="Category" dataDxfId="85"/>
    <tableColumn id="5" xr3:uid="{7604069B-CCEE-4BCC-931A-E7289FB0C47F}" name="Region" dataDxfId="84"/>
    <tableColumn id="6" xr3:uid="{3A1E4939-471E-40B4-B8A5-FF45AF2F3159}" name="Customer" dataDxfId="83"/>
    <tableColumn id="7" xr3:uid="{5CA9B274-3D50-417B-961D-F07B73ABBDFD}" name="OrderType" dataDxfId="82"/>
    <tableColumn id="8" xr3:uid="{686BDDFF-3EC8-42B7-89F7-08066B8FC69B}" name="UnitsSold" dataDxfId="81"/>
    <tableColumn id="9" xr3:uid="{36763A4E-432D-4321-8705-C4306FD8262A}" name="UnitPrice" dataDxfId="80"/>
    <tableColumn id="10" xr3:uid="{16F7AF29-06AF-41C7-BC67-56A5C48C3BD7}" name="Cost" dataDxfId="79"/>
    <tableColumn id="11" xr3:uid="{5B13D24B-D87D-41E4-9B63-67418F1E3B14}" name="Revenue" dataDxfId="78"/>
    <tableColumn id="12" xr3:uid="{C08196C0-4D3B-41C3-BE11-B75984631D91}" name="Profit" dataDxfId="77"/>
    <tableColumn id="13" xr3:uid="{4E269A07-D5BA-49B6-84DE-68B9584EC810}" name="Month" dataDxfId="76"/>
    <tableColumn id="14" xr3:uid="{F38A539C-97B5-449F-BF0C-C69B761ADBBF}" name="Quarter" dataDxfId="7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792C9EE0-2634-4259-B6FC-41A28FC02853}" sourceName="[Range].[Date]">
  <pivotTables>
    <pivotTable tabId="2" name="PivotTable1"/>
    <pivotTable tabId="2" name="PivotTable2"/>
    <pivotTable tabId="2" name="PivotTable3"/>
    <pivotTable tabId="2" name="PivotTable4"/>
    <pivotTable tabId="2" name="PivotTable5"/>
  </pivotTables>
  <state minimalRefreshVersion="6" lastRefreshVersion="6" pivotCacheId="1975150793" filterType="dateBetween">
    <selection startDate="2025-01-01T00:00:00" endDate="2025-12-31T00:00:00"/>
    <bounds startDate="1899-12-3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6F1D3C3D-0CDE-499A-A081-672778A4B46C}" cache="Timeline_Date" caption="Date" level="0" selectionLevel="0" scrollPosition="2019-10-28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11/relationships/timeline" Target="../timelines/timelin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1"/>
  <sheetViews>
    <sheetView zoomScale="94" workbookViewId="0">
      <selection activeCell="J16" sqref="J16"/>
    </sheetView>
  </sheetViews>
  <sheetFormatPr defaultRowHeight="14.5" x14ac:dyDescent="0.35"/>
  <cols>
    <col min="1" max="1" width="12.90625" customWidth="1"/>
    <col min="2" max="2" width="13.7265625" style="1" customWidth="1"/>
    <col min="3" max="3" width="12.453125" customWidth="1"/>
    <col min="4" max="4" width="16.36328125" customWidth="1"/>
    <col min="5" max="5" width="9.90625" customWidth="1"/>
    <col min="6" max="6" width="15.26953125" customWidth="1"/>
    <col min="7" max="7" width="10.453125" customWidth="1"/>
    <col min="8" max="8" width="11.26953125" customWidth="1"/>
    <col min="9" max="9" width="10.453125" style="5" customWidth="1"/>
    <col min="10" max="10" width="12.1796875" style="5" customWidth="1"/>
    <col min="11" max="11" width="13.453125" style="5" customWidth="1"/>
    <col min="12" max="12" width="15.453125" style="5" customWidth="1"/>
    <col min="13" max="13" width="13.26953125" customWidth="1"/>
    <col min="14" max="14" width="11.81640625" customWidth="1"/>
  </cols>
  <sheetData>
    <row r="1" spans="1:14" x14ac:dyDescent="0.35">
      <c r="A1" s="27" t="s">
        <v>0</v>
      </c>
      <c r="B1" s="28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7" t="s">
        <v>12</v>
      </c>
      <c r="N1" s="27" t="s">
        <v>13</v>
      </c>
    </row>
    <row r="2" spans="1:14" x14ac:dyDescent="0.35">
      <c r="A2" s="23" t="s">
        <v>14</v>
      </c>
      <c r="B2" s="24">
        <v>45719</v>
      </c>
      <c r="C2" s="23" t="s">
        <v>338</v>
      </c>
      <c r="D2" s="23" t="s">
        <v>346</v>
      </c>
      <c r="E2" s="23" t="s">
        <v>351</v>
      </c>
      <c r="F2" s="23" t="s">
        <v>355</v>
      </c>
      <c r="G2" s="23" t="s">
        <v>362</v>
      </c>
      <c r="H2" s="23">
        <v>252</v>
      </c>
      <c r="I2" s="25">
        <v>869</v>
      </c>
      <c r="J2" s="25">
        <v>2913</v>
      </c>
      <c r="K2" s="25">
        <v>218988</v>
      </c>
      <c r="L2" s="25">
        <v>145584</v>
      </c>
      <c r="M2" s="23" t="s">
        <v>364</v>
      </c>
      <c r="N2" s="23" t="s">
        <v>412</v>
      </c>
    </row>
    <row r="3" spans="1:14" x14ac:dyDescent="0.35">
      <c r="A3" s="23" t="s">
        <v>15</v>
      </c>
      <c r="B3" s="24">
        <v>45410</v>
      </c>
      <c r="C3" s="23" t="s">
        <v>339</v>
      </c>
      <c r="D3" s="23" t="s">
        <v>348</v>
      </c>
      <c r="E3" s="23" t="s">
        <v>352</v>
      </c>
      <c r="F3" s="23" t="s">
        <v>356</v>
      </c>
      <c r="G3" s="23" t="s">
        <v>363</v>
      </c>
      <c r="H3" s="23">
        <v>236</v>
      </c>
      <c r="I3" s="25">
        <v>11699</v>
      </c>
      <c r="J3" s="25">
        <v>48</v>
      </c>
      <c r="K3" s="25">
        <v>276964</v>
      </c>
      <c r="L3" s="25">
        <v>2664676</v>
      </c>
      <c r="M3" s="23" t="s">
        <v>365</v>
      </c>
      <c r="N3" s="23" t="s">
        <v>413</v>
      </c>
    </row>
    <row r="4" spans="1:14" x14ac:dyDescent="0.35">
      <c r="A4" s="23" t="s">
        <v>418</v>
      </c>
      <c r="B4" s="24">
        <v>45322</v>
      </c>
      <c r="C4" s="23" t="s">
        <v>340</v>
      </c>
      <c r="D4" s="23" t="s">
        <v>348</v>
      </c>
      <c r="E4" s="23" t="s">
        <v>353</v>
      </c>
      <c r="F4" s="23" t="s">
        <v>357</v>
      </c>
      <c r="G4" s="23" t="s">
        <v>362</v>
      </c>
      <c r="H4" s="23">
        <v>54</v>
      </c>
      <c r="I4" s="25">
        <v>9914</v>
      </c>
      <c r="J4" s="25">
        <v>6111</v>
      </c>
      <c r="K4" s="25">
        <v>535356</v>
      </c>
      <c r="L4" s="25">
        <v>1264503</v>
      </c>
      <c r="M4" s="23" t="s">
        <v>366</v>
      </c>
      <c r="N4" s="23" t="s">
        <v>414</v>
      </c>
    </row>
    <row r="5" spans="1:14" x14ac:dyDescent="0.35">
      <c r="A5" s="23" t="s">
        <v>16</v>
      </c>
      <c r="B5" s="24">
        <v>45544</v>
      </c>
      <c r="C5" s="23" t="s">
        <v>341</v>
      </c>
      <c r="D5" s="23" t="s">
        <v>346</v>
      </c>
      <c r="E5" s="23" t="s">
        <v>353</v>
      </c>
      <c r="F5" s="23" t="s">
        <v>358</v>
      </c>
      <c r="G5" s="23" t="s">
        <v>362</v>
      </c>
      <c r="H5" s="23">
        <v>21</v>
      </c>
      <c r="I5" s="25">
        <v>1195</v>
      </c>
      <c r="J5" s="25">
        <v>9334</v>
      </c>
      <c r="K5" s="25">
        <v>21495</v>
      </c>
      <c r="L5" s="25">
        <v>1881</v>
      </c>
      <c r="M5" s="23" t="s">
        <v>367</v>
      </c>
      <c r="N5" s="23" t="s">
        <v>415</v>
      </c>
    </row>
    <row r="6" spans="1:14" x14ac:dyDescent="0.35">
      <c r="A6" s="23" t="s">
        <v>17</v>
      </c>
      <c r="B6" s="24">
        <v>45427</v>
      </c>
      <c r="C6" s="23" t="s">
        <v>340</v>
      </c>
      <c r="D6" s="23" t="s">
        <v>348</v>
      </c>
      <c r="E6" s="23" t="s">
        <v>351</v>
      </c>
      <c r="F6" s="23" t="s">
        <v>358</v>
      </c>
      <c r="G6" s="23" t="s">
        <v>362</v>
      </c>
      <c r="H6" s="23">
        <v>27</v>
      </c>
      <c r="I6" s="25">
        <v>6188</v>
      </c>
      <c r="J6" s="25">
        <v>254</v>
      </c>
      <c r="K6" s="25">
        <v>16776</v>
      </c>
      <c r="L6" s="25">
        <v>98496</v>
      </c>
      <c r="M6" s="23" t="s">
        <v>368</v>
      </c>
      <c r="N6" s="23" t="s">
        <v>413</v>
      </c>
    </row>
    <row r="7" spans="1:14" x14ac:dyDescent="0.35">
      <c r="A7" s="23" t="s">
        <v>18</v>
      </c>
      <c r="B7" s="24">
        <v>45584</v>
      </c>
      <c r="C7" s="23" t="s">
        <v>338</v>
      </c>
      <c r="D7" s="23" t="s">
        <v>348</v>
      </c>
      <c r="E7" s="23" t="s">
        <v>352</v>
      </c>
      <c r="F7" s="23" t="s">
        <v>357</v>
      </c>
      <c r="G7" s="23" t="s">
        <v>362</v>
      </c>
      <c r="H7" s="23">
        <v>28</v>
      </c>
      <c r="I7" s="25">
        <v>11246</v>
      </c>
      <c r="J7" s="25">
        <v>9447</v>
      </c>
      <c r="K7" s="25">
        <v>314888</v>
      </c>
      <c r="L7" s="25">
        <v>5372</v>
      </c>
      <c r="M7" s="23" t="s">
        <v>369</v>
      </c>
      <c r="N7" s="23" t="s">
        <v>416</v>
      </c>
    </row>
    <row r="8" spans="1:14" x14ac:dyDescent="0.35">
      <c r="A8" s="23" t="s">
        <v>419</v>
      </c>
      <c r="B8" s="24">
        <v>45363</v>
      </c>
      <c r="C8" s="23" t="s">
        <v>342</v>
      </c>
      <c r="D8" s="23" t="s">
        <v>346</v>
      </c>
      <c r="E8" s="23" t="s">
        <v>352</v>
      </c>
      <c r="F8" s="23" t="s">
        <v>359</v>
      </c>
      <c r="G8" s="23" t="s">
        <v>363</v>
      </c>
      <c r="H8" s="23">
        <v>4</v>
      </c>
      <c r="I8" s="25">
        <v>4988</v>
      </c>
      <c r="J8" s="25">
        <v>8755</v>
      </c>
      <c r="K8" s="25">
        <v>19952</v>
      </c>
      <c r="L8" s="25">
        <v>1568</v>
      </c>
      <c r="M8" s="23" t="s">
        <v>364</v>
      </c>
      <c r="N8" s="23" t="s">
        <v>414</v>
      </c>
    </row>
    <row r="9" spans="1:14" x14ac:dyDescent="0.35">
      <c r="A9" s="23" t="s">
        <v>420</v>
      </c>
      <c r="B9" s="24">
        <v>45355</v>
      </c>
      <c r="C9" s="23" t="s">
        <v>343</v>
      </c>
      <c r="D9" s="23" t="s">
        <v>350</v>
      </c>
      <c r="E9" s="23" t="s">
        <v>351</v>
      </c>
      <c r="F9" s="23" t="s">
        <v>381</v>
      </c>
      <c r="G9" s="23" t="s">
        <v>362</v>
      </c>
      <c r="H9" s="23">
        <v>212</v>
      </c>
      <c r="I9" s="25">
        <v>7224</v>
      </c>
      <c r="J9" s="25">
        <v>3738</v>
      </c>
      <c r="K9" s="25">
        <v>1531488</v>
      </c>
      <c r="L9" s="25">
        <v>73932</v>
      </c>
      <c r="M9" s="23" t="s">
        <v>364</v>
      </c>
      <c r="N9" s="23" t="s">
        <v>414</v>
      </c>
    </row>
    <row r="10" spans="1:14" x14ac:dyDescent="0.35">
      <c r="A10" s="23" t="s">
        <v>19</v>
      </c>
      <c r="B10" s="24">
        <v>45461</v>
      </c>
      <c r="C10" s="23" t="s">
        <v>339</v>
      </c>
      <c r="D10" s="23" t="s">
        <v>346</v>
      </c>
      <c r="E10" s="23" t="s">
        <v>352</v>
      </c>
      <c r="F10" s="23" t="s">
        <v>358</v>
      </c>
      <c r="G10" s="23" t="s">
        <v>363</v>
      </c>
      <c r="H10" s="23">
        <v>1</v>
      </c>
      <c r="I10" s="25">
        <v>295</v>
      </c>
      <c r="J10" s="25">
        <v>767</v>
      </c>
      <c r="K10" s="25">
        <v>295</v>
      </c>
      <c r="L10" s="25">
        <v>2183</v>
      </c>
      <c r="M10" s="23" t="s">
        <v>370</v>
      </c>
      <c r="N10" s="23" t="s">
        <v>413</v>
      </c>
    </row>
    <row r="11" spans="1:14" x14ac:dyDescent="0.35">
      <c r="A11" s="23" t="s">
        <v>20</v>
      </c>
      <c r="B11" s="24">
        <v>45523</v>
      </c>
      <c r="C11" s="23" t="s">
        <v>343</v>
      </c>
      <c r="D11" s="23" t="s">
        <v>346</v>
      </c>
      <c r="E11" s="23" t="s">
        <v>351</v>
      </c>
      <c r="F11" s="23" t="s">
        <v>360</v>
      </c>
      <c r="G11" s="23" t="s">
        <v>362</v>
      </c>
      <c r="H11" s="23">
        <v>74</v>
      </c>
      <c r="I11" s="25">
        <v>9284</v>
      </c>
      <c r="J11" s="25">
        <v>3484</v>
      </c>
      <c r="K11" s="25">
        <v>68716</v>
      </c>
      <c r="L11" s="25">
        <v>4292</v>
      </c>
      <c r="M11" s="23" t="s">
        <v>371</v>
      </c>
      <c r="N11" s="23" t="s">
        <v>415</v>
      </c>
    </row>
    <row r="12" spans="1:14" x14ac:dyDescent="0.35">
      <c r="A12" s="23" t="s">
        <v>421</v>
      </c>
      <c r="B12" s="24">
        <v>45392</v>
      </c>
      <c r="C12" s="23" t="s">
        <v>344</v>
      </c>
      <c r="D12" s="23" t="s">
        <v>348</v>
      </c>
      <c r="E12" s="23" t="s">
        <v>353</v>
      </c>
      <c r="F12" s="23" t="s">
        <v>360</v>
      </c>
      <c r="G12" s="23" t="s">
        <v>363</v>
      </c>
      <c r="H12" s="23">
        <v>1</v>
      </c>
      <c r="I12" s="25">
        <v>14996</v>
      </c>
      <c r="J12" s="25">
        <v>643</v>
      </c>
      <c r="K12" s="25">
        <v>14996</v>
      </c>
      <c r="L12" s="25">
        <v>8953</v>
      </c>
      <c r="M12" s="23" t="s">
        <v>365</v>
      </c>
      <c r="N12" s="23" t="s">
        <v>413</v>
      </c>
    </row>
    <row r="13" spans="1:14" x14ac:dyDescent="0.35">
      <c r="A13" s="23" t="s">
        <v>21</v>
      </c>
      <c r="B13" s="24">
        <v>45406</v>
      </c>
      <c r="C13" s="23" t="s">
        <v>338</v>
      </c>
      <c r="D13" s="23" t="s">
        <v>350</v>
      </c>
      <c r="E13" s="23" t="s">
        <v>351</v>
      </c>
      <c r="F13" s="23" t="s">
        <v>358</v>
      </c>
      <c r="G13" s="23" t="s">
        <v>362</v>
      </c>
      <c r="H13" s="23">
        <v>51</v>
      </c>
      <c r="I13" s="25">
        <v>0</v>
      </c>
      <c r="J13" s="25">
        <v>6235</v>
      </c>
      <c r="K13" s="25">
        <v>29343</v>
      </c>
      <c r="L13" s="25">
        <v>27642</v>
      </c>
      <c r="M13" s="23" t="s">
        <v>365</v>
      </c>
      <c r="N13" s="23" t="s">
        <v>413</v>
      </c>
    </row>
    <row r="14" spans="1:14" x14ac:dyDescent="0.35">
      <c r="A14" s="23" t="s">
        <v>22</v>
      </c>
      <c r="B14" s="24">
        <v>45554</v>
      </c>
      <c r="C14" s="23" t="s">
        <v>339</v>
      </c>
      <c r="D14" s="23" t="s">
        <v>346</v>
      </c>
      <c r="E14" s="23" t="s">
        <v>354</v>
      </c>
      <c r="F14" s="23" t="s">
        <v>359</v>
      </c>
      <c r="G14" s="23" t="s">
        <v>362</v>
      </c>
      <c r="H14" s="23">
        <v>276</v>
      </c>
      <c r="I14" s="25">
        <v>415</v>
      </c>
      <c r="J14" s="25">
        <v>6285</v>
      </c>
      <c r="K14" s="25">
        <v>11814</v>
      </c>
      <c r="L14" s="25">
        <v>62652</v>
      </c>
      <c r="M14" s="23" t="s">
        <v>367</v>
      </c>
      <c r="N14" s="23" t="s">
        <v>415</v>
      </c>
    </row>
    <row r="15" spans="1:14" x14ac:dyDescent="0.35">
      <c r="A15" s="23" t="s">
        <v>23</v>
      </c>
      <c r="B15" s="24">
        <v>45475</v>
      </c>
      <c r="C15" s="23" t="s">
        <v>341</v>
      </c>
      <c r="D15" s="23" t="s">
        <v>346</v>
      </c>
      <c r="E15" s="23" t="s">
        <v>354</v>
      </c>
      <c r="F15" s="23" t="s">
        <v>359</v>
      </c>
      <c r="G15" s="23" t="s">
        <v>362</v>
      </c>
      <c r="H15" s="23">
        <v>22</v>
      </c>
      <c r="I15" s="25">
        <v>13167</v>
      </c>
      <c r="J15" s="25">
        <v>611</v>
      </c>
      <c r="K15" s="25">
        <v>2659734</v>
      </c>
      <c r="L15" s="25">
        <v>1445512</v>
      </c>
      <c r="M15" s="23" t="s">
        <v>372</v>
      </c>
      <c r="N15" s="23" t="s">
        <v>415</v>
      </c>
    </row>
    <row r="16" spans="1:14" x14ac:dyDescent="0.35">
      <c r="A16" s="23" t="s">
        <v>24</v>
      </c>
      <c r="B16" s="24">
        <v>45671</v>
      </c>
      <c r="C16" s="23" t="s">
        <v>338</v>
      </c>
      <c r="D16" s="23" t="s">
        <v>348</v>
      </c>
      <c r="E16" s="23" t="s">
        <v>354</v>
      </c>
      <c r="F16" s="23" t="s">
        <v>358</v>
      </c>
      <c r="G16" s="23" t="s">
        <v>363</v>
      </c>
      <c r="H16" s="23">
        <v>143</v>
      </c>
      <c r="I16" s="25">
        <v>1478</v>
      </c>
      <c r="J16" s="25">
        <v>985</v>
      </c>
      <c r="K16" s="25">
        <v>211354</v>
      </c>
      <c r="L16" s="25">
        <v>1972685</v>
      </c>
      <c r="M16" s="23" t="s">
        <v>366</v>
      </c>
      <c r="N16" s="23" t="s">
        <v>412</v>
      </c>
    </row>
    <row r="17" spans="1:14" x14ac:dyDescent="0.35">
      <c r="A17" s="23" t="s">
        <v>422</v>
      </c>
      <c r="B17" s="24">
        <v>45378</v>
      </c>
      <c r="C17" s="23" t="s">
        <v>339</v>
      </c>
      <c r="D17" s="23" t="s">
        <v>346</v>
      </c>
      <c r="E17" s="23" t="s">
        <v>353</v>
      </c>
      <c r="F17" s="23" t="s">
        <v>359</v>
      </c>
      <c r="G17" s="23" t="s">
        <v>362</v>
      </c>
      <c r="H17" s="23">
        <v>27</v>
      </c>
      <c r="I17" s="25">
        <v>12253</v>
      </c>
      <c r="J17" s="25">
        <v>5766</v>
      </c>
      <c r="K17" s="25">
        <v>33831</v>
      </c>
      <c r="L17" s="25">
        <v>175149</v>
      </c>
      <c r="M17" s="23" t="s">
        <v>364</v>
      </c>
      <c r="N17" s="23" t="s">
        <v>414</v>
      </c>
    </row>
    <row r="18" spans="1:14" x14ac:dyDescent="0.35">
      <c r="A18" s="23" t="s">
        <v>25</v>
      </c>
      <c r="B18" s="24">
        <v>45421</v>
      </c>
      <c r="C18" s="23" t="s">
        <v>339</v>
      </c>
      <c r="D18" s="23" t="s">
        <v>346</v>
      </c>
      <c r="E18" s="23" t="s">
        <v>352</v>
      </c>
      <c r="F18" s="23" t="s">
        <v>356</v>
      </c>
      <c r="G18" s="23" t="s">
        <v>363</v>
      </c>
      <c r="H18" s="23">
        <v>65</v>
      </c>
      <c r="I18" s="25">
        <v>179</v>
      </c>
      <c r="J18" s="25">
        <v>8762</v>
      </c>
      <c r="K18" s="25">
        <v>69685</v>
      </c>
      <c r="L18" s="25">
        <v>126555</v>
      </c>
      <c r="M18" s="23" t="s">
        <v>368</v>
      </c>
      <c r="N18" s="23" t="s">
        <v>413</v>
      </c>
    </row>
    <row r="19" spans="1:14" x14ac:dyDescent="0.35">
      <c r="A19" s="23" t="s">
        <v>26</v>
      </c>
      <c r="B19" s="24">
        <v>45749</v>
      </c>
      <c r="C19" s="23" t="s">
        <v>343</v>
      </c>
      <c r="D19" s="23" t="s">
        <v>346</v>
      </c>
      <c r="E19" s="23" t="s">
        <v>351</v>
      </c>
      <c r="F19" s="23" t="s">
        <v>358</v>
      </c>
      <c r="G19" s="23" t="s">
        <v>363</v>
      </c>
      <c r="H19" s="23">
        <v>12</v>
      </c>
      <c r="I19" s="25">
        <v>1942</v>
      </c>
      <c r="J19" s="25">
        <v>974</v>
      </c>
      <c r="K19" s="25">
        <v>2334</v>
      </c>
      <c r="L19" s="25">
        <v>93144</v>
      </c>
      <c r="M19" s="23" t="s">
        <v>365</v>
      </c>
      <c r="N19" s="23" t="s">
        <v>417</v>
      </c>
    </row>
    <row r="20" spans="1:14" x14ac:dyDescent="0.35">
      <c r="A20" s="23" t="s">
        <v>423</v>
      </c>
      <c r="B20" s="24">
        <v>45602</v>
      </c>
      <c r="C20" s="23" t="s">
        <v>345</v>
      </c>
      <c r="D20" s="23" t="s">
        <v>346</v>
      </c>
      <c r="E20" s="23" t="s">
        <v>352</v>
      </c>
      <c r="F20" s="23" t="s">
        <v>360</v>
      </c>
      <c r="G20" s="23" t="s">
        <v>363</v>
      </c>
      <c r="H20" s="23">
        <v>246</v>
      </c>
      <c r="I20" s="25">
        <v>487</v>
      </c>
      <c r="J20" s="25">
        <v>7811</v>
      </c>
      <c r="K20" s="25">
        <v>11982</v>
      </c>
      <c r="L20" s="25">
        <v>723486</v>
      </c>
      <c r="M20" s="23" t="s">
        <v>373</v>
      </c>
      <c r="N20" s="23" t="s">
        <v>416</v>
      </c>
    </row>
    <row r="21" spans="1:14" x14ac:dyDescent="0.35">
      <c r="A21" s="23" t="s">
        <v>424</v>
      </c>
      <c r="B21" s="24">
        <v>45317</v>
      </c>
      <c r="C21" s="23" t="s">
        <v>339</v>
      </c>
      <c r="D21" s="23" t="s">
        <v>348</v>
      </c>
      <c r="E21" s="23" t="s">
        <v>352</v>
      </c>
      <c r="F21" s="23" t="s">
        <v>360</v>
      </c>
      <c r="G21" s="23" t="s">
        <v>362</v>
      </c>
      <c r="H21" s="23">
        <v>187</v>
      </c>
      <c r="I21" s="25">
        <v>665</v>
      </c>
      <c r="J21" s="25">
        <v>5285</v>
      </c>
      <c r="K21" s="25">
        <v>124355</v>
      </c>
      <c r="L21" s="25">
        <v>86394</v>
      </c>
      <c r="M21" s="23" t="s">
        <v>366</v>
      </c>
      <c r="N21" s="23" t="s">
        <v>414</v>
      </c>
    </row>
    <row r="22" spans="1:14" x14ac:dyDescent="0.35">
      <c r="A22" s="23" t="s">
        <v>425</v>
      </c>
      <c r="B22" s="24">
        <v>45697</v>
      </c>
      <c r="C22" s="23" t="s">
        <v>345</v>
      </c>
      <c r="D22" s="23" t="s">
        <v>350</v>
      </c>
      <c r="E22" s="23" t="s">
        <v>354</v>
      </c>
      <c r="F22" s="23" t="s">
        <v>359</v>
      </c>
      <c r="G22" s="23" t="s">
        <v>362</v>
      </c>
      <c r="H22" s="23">
        <v>95</v>
      </c>
      <c r="I22" s="25">
        <v>13765</v>
      </c>
      <c r="J22" s="25">
        <v>2156</v>
      </c>
      <c r="K22" s="25">
        <v>137675</v>
      </c>
      <c r="L22" s="25">
        <v>349113</v>
      </c>
      <c r="M22" s="23" t="s">
        <v>374</v>
      </c>
      <c r="N22" s="23" t="s">
        <v>412</v>
      </c>
    </row>
    <row r="23" spans="1:14" x14ac:dyDescent="0.35">
      <c r="A23" s="23" t="s">
        <v>27</v>
      </c>
      <c r="B23" s="24">
        <v>45579</v>
      </c>
      <c r="C23" s="23" t="s">
        <v>342</v>
      </c>
      <c r="D23" s="23" t="s">
        <v>348</v>
      </c>
      <c r="E23" s="23" t="s">
        <v>354</v>
      </c>
      <c r="F23" s="23" t="s">
        <v>356</v>
      </c>
      <c r="G23" s="23" t="s">
        <v>362</v>
      </c>
      <c r="H23" s="23">
        <v>252</v>
      </c>
      <c r="I23" s="25">
        <v>0</v>
      </c>
      <c r="J23" s="25">
        <v>6614</v>
      </c>
      <c r="K23" s="25">
        <v>5814</v>
      </c>
      <c r="L23" s="25">
        <v>186624</v>
      </c>
      <c r="M23" s="23" t="s">
        <v>369</v>
      </c>
      <c r="N23" s="23" t="s">
        <v>416</v>
      </c>
    </row>
    <row r="24" spans="1:14" x14ac:dyDescent="0.35">
      <c r="A24" s="23" t="s">
        <v>28</v>
      </c>
      <c r="B24" s="24">
        <v>45626</v>
      </c>
      <c r="C24" s="23" t="s">
        <v>339</v>
      </c>
      <c r="D24" s="23" t="s">
        <v>350</v>
      </c>
      <c r="E24" s="23" t="s">
        <v>352</v>
      </c>
      <c r="F24" s="23" t="s">
        <v>358</v>
      </c>
      <c r="G24" s="23" t="s">
        <v>362</v>
      </c>
      <c r="H24" s="23">
        <v>0</v>
      </c>
      <c r="I24" s="25">
        <v>8763</v>
      </c>
      <c r="J24" s="25">
        <v>91</v>
      </c>
      <c r="K24" s="25">
        <v>8763</v>
      </c>
      <c r="L24" s="25">
        <v>7853</v>
      </c>
      <c r="M24" s="23" t="s">
        <v>373</v>
      </c>
      <c r="N24" s="23" t="s">
        <v>416</v>
      </c>
    </row>
    <row r="25" spans="1:14" x14ac:dyDescent="0.35">
      <c r="A25" s="23" t="s">
        <v>29</v>
      </c>
      <c r="B25" s="24">
        <v>45524</v>
      </c>
      <c r="C25" s="23" t="s">
        <v>344</v>
      </c>
      <c r="D25" s="23" t="s">
        <v>350</v>
      </c>
      <c r="E25" s="23" t="s">
        <v>354</v>
      </c>
      <c r="F25" s="23" t="s">
        <v>356</v>
      </c>
      <c r="G25" s="23" t="s">
        <v>363</v>
      </c>
      <c r="H25" s="23">
        <v>112</v>
      </c>
      <c r="I25" s="25">
        <v>394</v>
      </c>
      <c r="J25" s="25">
        <v>7486</v>
      </c>
      <c r="K25" s="25">
        <v>44128</v>
      </c>
      <c r="L25" s="25">
        <v>397152</v>
      </c>
      <c r="M25" s="23" t="s">
        <v>371</v>
      </c>
      <c r="N25" s="23" t="s">
        <v>415</v>
      </c>
    </row>
    <row r="26" spans="1:14" x14ac:dyDescent="0.35">
      <c r="A26" s="23" t="s">
        <v>30</v>
      </c>
      <c r="B26" s="24">
        <v>45648</v>
      </c>
      <c r="C26" s="23" t="s">
        <v>341</v>
      </c>
      <c r="D26" s="23" t="s">
        <v>350</v>
      </c>
      <c r="E26" s="23" t="s">
        <v>353</v>
      </c>
      <c r="F26" s="23" t="s">
        <v>361</v>
      </c>
      <c r="G26" s="23" t="s">
        <v>363</v>
      </c>
      <c r="H26" s="23">
        <v>116</v>
      </c>
      <c r="I26" s="25">
        <v>6312</v>
      </c>
      <c r="J26" s="25">
        <v>3636</v>
      </c>
      <c r="K26" s="25">
        <v>732192</v>
      </c>
      <c r="L26" s="25">
        <v>31416</v>
      </c>
      <c r="M26" s="23" t="s">
        <v>375</v>
      </c>
      <c r="N26" s="23" t="s">
        <v>416</v>
      </c>
    </row>
    <row r="27" spans="1:14" x14ac:dyDescent="0.35">
      <c r="A27" s="23" t="s">
        <v>31</v>
      </c>
      <c r="B27" s="24">
        <v>45463</v>
      </c>
      <c r="C27" s="23" t="s">
        <v>345</v>
      </c>
      <c r="D27" s="23" t="s">
        <v>348</v>
      </c>
      <c r="E27" s="23" t="s">
        <v>354</v>
      </c>
      <c r="F27" s="23" t="s">
        <v>355</v>
      </c>
      <c r="G27" s="23" t="s">
        <v>363</v>
      </c>
      <c r="H27" s="23">
        <v>219</v>
      </c>
      <c r="I27" s="25">
        <v>367</v>
      </c>
      <c r="J27" s="25">
        <v>8861</v>
      </c>
      <c r="K27" s="25">
        <v>671673</v>
      </c>
      <c r="L27" s="25">
        <v>1268886</v>
      </c>
      <c r="M27" s="23" t="s">
        <v>370</v>
      </c>
      <c r="N27" s="23" t="s">
        <v>413</v>
      </c>
    </row>
    <row r="28" spans="1:14" x14ac:dyDescent="0.35">
      <c r="A28" s="23" t="s">
        <v>32</v>
      </c>
      <c r="B28" s="24">
        <v>45735</v>
      </c>
      <c r="C28" s="23" t="s">
        <v>343</v>
      </c>
      <c r="D28" s="23" t="s">
        <v>350</v>
      </c>
      <c r="E28" s="23" t="s">
        <v>353</v>
      </c>
      <c r="F28" s="23" t="s">
        <v>359</v>
      </c>
      <c r="G28" s="23" t="s">
        <v>363</v>
      </c>
      <c r="H28" s="23">
        <v>163</v>
      </c>
      <c r="I28" s="25">
        <v>868</v>
      </c>
      <c r="J28" s="25">
        <v>2623</v>
      </c>
      <c r="K28" s="25">
        <v>141484</v>
      </c>
      <c r="L28" s="25">
        <v>28665</v>
      </c>
      <c r="M28" s="23" t="s">
        <v>364</v>
      </c>
      <c r="N28" s="23" t="s">
        <v>412</v>
      </c>
    </row>
    <row r="29" spans="1:14" x14ac:dyDescent="0.35">
      <c r="A29" s="23" t="s">
        <v>33</v>
      </c>
      <c r="B29" s="24">
        <v>45651</v>
      </c>
      <c r="C29" s="23" t="s">
        <v>344</v>
      </c>
      <c r="D29" s="23" t="s">
        <v>348</v>
      </c>
      <c r="E29" s="23" t="s">
        <v>353</v>
      </c>
      <c r="F29" s="23" t="s">
        <v>360</v>
      </c>
      <c r="G29" s="23" t="s">
        <v>362</v>
      </c>
      <c r="H29" s="23">
        <v>128</v>
      </c>
      <c r="I29" s="25">
        <v>2724</v>
      </c>
      <c r="J29" s="25">
        <v>49</v>
      </c>
      <c r="K29" s="25">
        <v>348672</v>
      </c>
      <c r="L29" s="25">
        <v>174848</v>
      </c>
      <c r="M29" s="23" t="s">
        <v>375</v>
      </c>
      <c r="N29" s="23" t="s">
        <v>416</v>
      </c>
    </row>
    <row r="30" spans="1:14" x14ac:dyDescent="0.35">
      <c r="A30" s="23" t="s">
        <v>34</v>
      </c>
      <c r="B30" s="24">
        <v>45503</v>
      </c>
      <c r="C30" s="23" t="s">
        <v>342</v>
      </c>
      <c r="D30" s="23" t="s">
        <v>346</v>
      </c>
      <c r="E30" s="23" t="s">
        <v>354</v>
      </c>
      <c r="F30" s="23" t="s">
        <v>359</v>
      </c>
      <c r="G30" s="23" t="s">
        <v>363</v>
      </c>
      <c r="H30" s="23">
        <v>251</v>
      </c>
      <c r="I30" s="25">
        <v>3566</v>
      </c>
      <c r="J30" s="25">
        <v>6845</v>
      </c>
      <c r="K30" s="25">
        <v>89566</v>
      </c>
      <c r="L30" s="25">
        <v>82329</v>
      </c>
      <c r="M30" s="23" t="s">
        <v>372</v>
      </c>
      <c r="N30" s="23" t="s">
        <v>415</v>
      </c>
    </row>
    <row r="31" spans="1:14" x14ac:dyDescent="0.35">
      <c r="A31" s="23" t="s">
        <v>35</v>
      </c>
      <c r="B31" s="24">
        <v>45789</v>
      </c>
      <c r="C31" s="23" t="s">
        <v>343</v>
      </c>
      <c r="D31" s="23" t="s">
        <v>348</v>
      </c>
      <c r="E31" s="23" t="s">
        <v>354</v>
      </c>
      <c r="F31" s="23" t="s">
        <v>359</v>
      </c>
      <c r="G31" s="23" t="s">
        <v>363</v>
      </c>
      <c r="H31" s="23">
        <v>238</v>
      </c>
      <c r="I31" s="25">
        <v>9685</v>
      </c>
      <c r="J31" s="25">
        <v>6463</v>
      </c>
      <c r="K31" s="25">
        <v>2353</v>
      </c>
      <c r="L31" s="25">
        <v>766836</v>
      </c>
      <c r="M31" s="23" t="s">
        <v>368</v>
      </c>
      <c r="N31" s="23" t="s">
        <v>417</v>
      </c>
    </row>
    <row r="32" spans="1:14" x14ac:dyDescent="0.35">
      <c r="A32" s="23" t="s">
        <v>36</v>
      </c>
      <c r="B32" s="24">
        <v>45621</v>
      </c>
      <c r="C32" s="23" t="s">
        <v>344</v>
      </c>
      <c r="D32" s="23" t="s">
        <v>348</v>
      </c>
      <c r="E32" s="23" t="s">
        <v>352</v>
      </c>
      <c r="F32" s="23" t="s">
        <v>359</v>
      </c>
      <c r="G32" s="23" t="s">
        <v>363</v>
      </c>
      <c r="H32" s="23">
        <v>0</v>
      </c>
      <c r="I32" s="25">
        <v>2699</v>
      </c>
      <c r="J32" s="25">
        <v>2836</v>
      </c>
      <c r="K32" s="25">
        <v>153843</v>
      </c>
      <c r="L32" s="25">
        <v>781</v>
      </c>
      <c r="M32" s="23" t="s">
        <v>373</v>
      </c>
      <c r="N32" s="23" t="s">
        <v>416</v>
      </c>
    </row>
    <row r="33" spans="1:14" x14ac:dyDescent="0.35">
      <c r="A33" s="23" t="s">
        <v>426</v>
      </c>
      <c r="B33" s="24">
        <v>45335</v>
      </c>
      <c r="C33" s="23" t="s">
        <v>338</v>
      </c>
      <c r="D33" s="23" t="s">
        <v>348</v>
      </c>
      <c r="E33" s="23" t="s">
        <v>352</v>
      </c>
      <c r="F33" s="23" t="s">
        <v>358</v>
      </c>
      <c r="G33" s="23" t="s">
        <v>363</v>
      </c>
      <c r="H33" s="23">
        <v>263</v>
      </c>
      <c r="I33" s="25">
        <v>8152</v>
      </c>
      <c r="J33" s="25">
        <v>56</v>
      </c>
      <c r="K33" s="25">
        <v>2143976</v>
      </c>
      <c r="L33" s="25">
        <v>21898</v>
      </c>
      <c r="M33" s="23" t="s">
        <v>374</v>
      </c>
      <c r="N33" s="23" t="s">
        <v>414</v>
      </c>
    </row>
    <row r="34" spans="1:14" x14ac:dyDescent="0.35">
      <c r="A34" s="23" t="s">
        <v>427</v>
      </c>
      <c r="B34" s="24">
        <v>45700</v>
      </c>
      <c r="C34" s="23" t="s">
        <v>341</v>
      </c>
      <c r="D34" s="23" t="s">
        <v>346</v>
      </c>
      <c r="E34" s="23" t="s">
        <v>353</v>
      </c>
      <c r="F34" s="23" t="s">
        <v>361</v>
      </c>
      <c r="G34" s="23" t="s">
        <v>362</v>
      </c>
      <c r="H34" s="23">
        <v>15</v>
      </c>
      <c r="I34" s="25">
        <v>9668</v>
      </c>
      <c r="J34" s="25">
        <v>5</v>
      </c>
      <c r="K34" s="25">
        <v>1452</v>
      </c>
      <c r="L34" s="25">
        <v>13752</v>
      </c>
      <c r="M34" s="23" t="s">
        <v>374</v>
      </c>
      <c r="N34" s="23" t="s">
        <v>412</v>
      </c>
    </row>
    <row r="35" spans="1:14" x14ac:dyDescent="0.35">
      <c r="A35" s="23" t="s">
        <v>37</v>
      </c>
      <c r="B35" s="24">
        <v>45535</v>
      </c>
      <c r="C35" s="23" t="s">
        <v>344</v>
      </c>
      <c r="D35" s="23" t="s">
        <v>381</v>
      </c>
      <c r="E35" s="23" t="s">
        <v>352</v>
      </c>
      <c r="F35" s="23" t="s">
        <v>356</v>
      </c>
      <c r="G35" s="23" t="s">
        <v>363</v>
      </c>
      <c r="H35" s="23">
        <v>16</v>
      </c>
      <c r="I35" s="25">
        <v>6451</v>
      </c>
      <c r="J35" s="25">
        <v>6413</v>
      </c>
      <c r="K35" s="25">
        <v>480661</v>
      </c>
      <c r="L35" s="25">
        <v>6811</v>
      </c>
      <c r="M35" s="23" t="s">
        <v>371</v>
      </c>
      <c r="N35" s="23" t="s">
        <v>415</v>
      </c>
    </row>
    <row r="36" spans="1:14" x14ac:dyDescent="0.35">
      <c r="A36" s="23" t="s">
        <v>38</v>
      </c>
      <c r="B36" s="24">
        <v>45589</v>
      </c>
      <c r="C36" s="23" t="s">
        <v>338</v>
      </c>
      <c r="D36" s="23" t="s">
        <v>346</v>
      </c>
      <c r="E36" s="23" t="s">
        <v>352</v>
      </c>
      <c r="F36" s="23" t="s">
        <v>358</v>
      </c>
      <c r="G36" s="23" t="s">
        <v>362</v>
      </c>
      <c r="H36" s="23">
        <v>279</v>
      </c>
      <c r="I36" s="25">
        <v>3424</v>
      </c>
      <c r="J36" s="25">
        <v>9843</v>
      </c>
      <c r="K36" s="25">
        <v>955296</v>
      </c>
      <c r="L36" s="25">
        <v>17991</v>
      </c>
      <c r="M36" s="23" t="s">
        <v>369</v>
      </c>
      <c r="N36" s="23" t="s">
        <v>416</v>
      </c>
    </row>
    <row r="37" spans="1:14" x14ac:dyDescent="0.35">
      <c r="A37" s="23" t="s">
        <v>39</v>
      </c>
      <c r="B37" s="24">
        <v>45783</v>
      </c>
      <c r="C37" s="23" t="s">
        <v>338</v>
      </c>
      <c r="D37" s="23" t="s">
        <v>348</v>
      </c>
      <c r="E37" s="23" t="s">
        <v>352</v>
      </c>
      <c r="F37" s="23" t="s">
        <v>356</v>
      </c>
      <c r="G37" s="23" t="s">
        <v>362</v>
      </c>
      <c r="H37" s="23">
        <v>132</v>
      </c>
      <c r="I37" s="25">
        <v>13471</v>
      </c>
      <c r="J37" s="25">
        <v>67</v>
      </c>
      <c r="K37" s="25">
        <v>1778172</v>
      </c>
      <c r="L37" s="25">
        <v>169848</v>
      </c>
      <c r="M37" s="23" t="s">
        <v>368</v>
      </c>
      <c r="N37" s="23" t="s">
        <v>417</v>
      </c>
    </row>
    <row r="38" spans="1:14" x14ac:dyDescent="0.35">
      <c r="A38" s="23" t="s">
        <v>40</v>
      </c>
      <c r="B38" s="24">
        <v>45591</v>
      </c>
      <c r="C38" s="23" t="s">
        <v>343</v>
      </c>
      <c r="D38" s="23" t="s">
        <v>346</v>
      </c>
      <c r="E38" s="23" t="s">
        <v>353</v>
      </c>
      <c r="F38" s="23" t="s">
        <v>356</v>
      </c>
      <c r="G38" s="23" t="s">
        <v>363</v>
      </c>
      <c r="H38" s="23">
        <v>287</v>
      </c>
      <c r="I38" s="25">
        <v>2882</v>
      </c>
      <c r="J38" s="25">
        <v>8962</v>
      </c>
      <c r="K38" s="25">
        <v>827134</v>
      </c>
      <c r="L38" s="25">
        <v>174496</v>
      </c>
      <c r="M38" s="23" t="s">
        <v>369</v>
      </c>
      <c r="N38" s="23" t="s">
        <v>416</v>
      </c>
    </row>
    <row r="39" spans="1:14" x14ac:dyDescent="0.35">
      <c r="A39" s="23" t="s">
        <v>41</v>
      </c>
      <c r="B39" s="24">
        <v>45433</v>
      </c>
      <c r="C39" s="23" t="s">
        <v>343</v>
      </c>
      <c r="D39" s="23" t="s">
        <v>346</v>
      </c>
      <c r="E39" s="23" t="s">
        <v>354</v>
      </c>
      <c r="F39" s="23" t="s">
        <v>356</v>
      </c>
      <c r="G39" s="23" t="s">
        <v>362</v>
      </c>
      <c r="H39" s="23">
        <v>189</v>
      </c>
      <c r="I39" s="25">
        <v>625</v>
      </c>
      <c r="J39" s="25">
        <v>613</v>
      </c>
      <c r="K39" s="25">
        <v>118125</v>
      </c>
      <c r="L39" s="25">
        <v>165393</v>
      </c>
      <c r="M39" s="23" t="s">
        <v>368</v>
      </c>
      <c r="N39" s="23" t="s">
        <v>413</v>
      </c>
    </row>
    <row r="40" spans="1:14" x14ac:dyDescent="0.35">
      <c r="A40" s="23" t="s">
        <v>42</v>
      </c>
      <c r="B40" s="24">
        <v>45443</v>
      </c>
      <c r="C40" s="23" t="s">
        <v>340</v>
      </c>
      <c r="D40" s="23" t="s">
        <v>346</v>
      </c>
      <c r="E40" s="23" t="s">
        <v>354</v>
      </c>
      <c r="F40" s="23" t="s">
        <v>360</v>
      </c>
      <c r="G40" s="23" t="s">
        <v>363</v>
      </c>
      <c r="H40" s="23">
        <v>224</v>
      </c>
      <c r="I40" s="25">
        <v>7643</v>
      </c>
      <c r="J40" s="25">
        <v>4292</v>
      </c>
      <c r="K40" s="25">
        <v>171232</v>
      </c>
      <c r="L40" s="25">
        <v>75624</v>
      </c>
      <c r="M40" s="23" t="s">
        <v>368</v>
      </c>
      <c r="N40" s="23" t="s">
        <v>413</v>
      </c>
    </row>
    <row r="41" spans="1:14" x14ac:dyDescent="0.35">
      <c r="A41" s="23" t="s">
        <v>428</v>
      </c>
      <c r="B41" s="24">
        <v>45452</v>
      </c>
      <c r="C41" s="23" t="s">
        <v>344</v>
      </c>
      <c r="D41" s="23" t="s">
        <v>350</v>
      </c>
      <c r="E41" s="23" t="s">
        <v>352</v>
      </c>
      <c r="F41" s="23" t="s">
        <v>356</v>
      </c>
      <c r="G41" s="23" t="s">
        <v>362</v>
      </c>
      <c r="H41" s="23">
        <v>51</v>
      </c>
      <c r="I41" s="25">
        <v>0</v>
      </c>
      <c r="J41" s="25">
        <v>6567</v>
      </c>
      <c r="K41" s="25">
        <v>499443</v>
      </c>
      <c r="L41" s="25">
        <v>164526</v>
      </c>
      <c r="M41" s="23" t="s">
        <v>370</v>
      </c>
      <c r="N41" s="23" t="s">
        <v>413</v>
      </c>
    </row>
    <row r="42" spans="1:14" x14ac:dyDescent="0.35">
      <c r="A42" s="23" t="s">
        <v>43</v>
      </c>
      <c r="B42" s="24">
        <v>45465</v>
      </c>
      <c r="C42" s="23" t="s">
        <v>339</v>
      </c>
      <c r="D42" s="23" t="s">
        <v>348</v>
      </c>
      <c r="E42" s="23" t="s">
        <v>351</v>
      </c>
      <c r="F42" s="23" t="s">
        <v>361</v>
      </c>
      <c r="G42" s="23" t="s">
        <v>362</v>
      </c>
      <c r="H42" s="23">
        <v>223</v>
      </c>
      <c r="I42" s="25">
        <v>2249</v>
      </c>
      <c r="J42" s="25">
        <v>995</v>
      </c>
      <c r="K42" s="25">
        <v>51527</v>
      </c>
      <c r="L42" s="25">
        <v>1717323</v>
      </c>
      <c r="M42" s="23" t="s">
        <v>370</v>
      </c>
      <c r="N42" s="23" t="s">
        <v>413</v>
      </c>
    </row>
    <row r="43" spans="1:14" x14ac:dyDescent="0.35">
      <c r="A43" s="23" t="s">
        <v>429</v>
      </c>
      <c r="B43" s="24">
        <v>45752</v>
      </c>
      <c r="C43" s="23" t="s">
        <v>339</v>
      </c>
      <c r="D43" s="23" t="s">
        <v>346</v>
      </c>
      <c r="E43" s="23" t="s">
        <v>354</v>
      </c>
      <c r="F43" s="23" t="s">
        <v>358</v>
      </c>
      <c r="G43" s="23" t="s">
        <v>363</v>
      </c>
      <c r="H43" s="23">
        <v>285</v>
      </c>
      <c r="I43" s="25">
        <v>1298</v>
      </c>
      <c r="J43" s="25">
        <v>92</v>
      </c>
      <c r="K43" s="25">
        <v>367878</v>
      </c>
      <c r="L43" s="25">
        <v>341658</v>
      </c>
      <c r="M43" s="23" t="s">
        <v>365</v>
      </c>
      <c r="N43" s="23" t="s">
        <v>417</v>
      </c>
    </row>
    <row r="44" spans="1:14" x14ac:dyDescent="0.35">
      <c r="A44" s="23" t="s">
        <v>418</v>
      </c>
      <c r="B44" s="24">
        <v>45592</v>
      </c>
      <c r="C44" s="23" t="s">
        <v>343</v>
      </c>
      <c r="D44" s="23" t="s">
        <v>348</v>
      </c>
      <c r="E44" s="23" t="s">
        <v>354</v>
      </c>
      <c r="F44" s="23" t="s">
        <v>359</v>
      </c>
      <c r="G44" s="23" t="s">
        <v>362</v>
      </c>
      <c r="H44" s="23">
        <v>15</v>
      </c>
      <c r="I44" s="25">
        <v>0</v>
      </c>
      <c r="J44" s="25">
        <v>2454</v>
      </c>
      <c r="K44" s="25">
        <v>184665</v>
      </c>
      <c r="L44" s="25">
        <v>147855</v>
      </c>
      <c r="M44" s="23" t="s">
        <v>369</v>
      </c>
      <c r="N44" s="23" t="s">
        <v>416</v>
      </c>
    </row>
    <row r="45" spans="1:14" x14ac:dyDescent="0.35">
      <c r="A45" s="23" t="s">
        <v>44</v>
      </c>
      <c r="B45" s="24">
        <v>45435</v>
      </c>
      <c r="C45" s="23" t="s">
        <v>344</v>
      </c>
      <c r="D45" s="23" t="s">
        <v>348</v>
      </c>
      <c r="E45" s="23" t="s">
        <v>351</v>
      </c>
      <c r="F45" s="23" t="s">
        <v>358</v>
      </c>
      <c r="G45" s="23" t="s">
        <v>363</v>
      </c>
      <c r="H45" s="23">
        <v>282</v>
      </c>
      <c r="I45" s="25">
        <v>134</v>
      </c>
      <c r="J45" s="25">
        <v>988</v>
      </c>
      <c r="K45" s="25">
        <v>3667128</v>
      </c>
      <c r="L45" s="25">
        <v>88968</v>
      </c>
      <c r="M45" s="23" t="s">
        <v>368</v>
      </c>
      <c r="N45" s="23" t="s">
        <v>413</v>
      </c>
    </row>
    <row r="46" spans="1:14" x14ac:dyDescent="0.35">
      <c r="A46" s="23" t="s">
        <v>45</v>
      </c>
      <c r="B46" s="24">
        <v>45734</v>
      </c>
      <c r="C46" s="23" t="s">
        <v>341</v>
      </c>
      <c r="D46" s="23" t="s">
        <v>348</v>
      </c>
      <c r="E46" s="23" t="s">
        <v>351</v>
      </c>
      <c r="F46" s="23" t="s">
        <v>357</v>
      </c>
      <c r="G46" s="23" t="s">
        <v>363</v>
      </c>
      <c r="H46" s="23">
        <v>248</v>
      </c>
      <c r="I46" s="25">
        <v>6427</v>
      </c>
      <c r="J46" s="25">
        <v>524</v>
      </c>
      <c r="K46" s="25">
        <v>1593896</v>
      </c>
      <c r="L46" s="25">
        <v>347944</v>
      </c>
      <c r="M46" s="23" t="s">
        <v>364</v>
      </c>
      <c r="N46" s="23" t="s">
        <v>412</v>
      </c>
    </row>
    <row r="47" spans="1:14" x14ac:dyDescent="0.35">
      <c r="A47" s="23" t="s">
        <v>429</v>
      </c>
      <c r="B47" s="24">
        <v>45698</v>
      </c>
      <c r="C47" s="23" t="s">
        <v>342</v>
      </c>
      <c r="D47" s="23" t="s">
        <v>348</v>
      </c>
      <c r="E47" s="23" t="s">
        <v>351</v>
      </c>
      <c r="F47" s="23" t="s">
        <v>358</v>
      </c>
      <c r="G47" s="23" t="s">
        <v>362</v>
      </c>
      <c r="H47" s="23">
        <v>256</v>
      </c>
      <c r="I47" s="25">
        <v>5755</v>
      </c>
      <c r="J47" s="25">
        <v>6866</v>
      </c>
      <c r="K47" s="25">
        <v>147328</v>
      </c>
      <c r="L47" s="25">
        <v>284416</v>
      </c>
      <c r="M47" s="23" t="s">
        <v>374</v>
      </c>
      <c r="N47" s="23" t="s">
        <v>412</v>
      </c>
    </row>
    <row r="48" spans="1:14" x14ac:dyDescent="0.35">
      <c r="A48" s="23" t="s">
        <v>46</v>
      </c>
      <c r="B48" s="24">
        <v>45456</v>
      </c>
      <c r="C48" s="23" t="s">
        <v>339</v>
      </c>
      <c r="D48" s="23" t="s">
        <v>348</v>
      </c>
      <c r="E48" s="23" t="s">
        <v>351</v>
      </c>
      <c r="F48" s="23" t="s">
        <v>355</v>
      </c>
      <c r="G48" s="23" t="s">
        <v>362</v>
      </c>
      <c r="H48" s="23">
        <v>1</v>
      </c>
      <c r="I48" s="25">
        <v>7372</v>
      </c>
      <c r="J48" s="25">
        <v>193</v>
      </c>
      <c r="K48" s="25">
        <v>7372</v>
      </c>
      <c r="L48" s="25">
        <v>5442</v>
      </c>
      <c r="M48" s="23" t="s">
        <v>370</v>
      </c>
      <c r="N48" s="23" t="s">
        <v>413</v>
      </c>
    </row>
    <row r="49" spans="1:14" x14ac:dyDescent="0.35">
      <c r="A49" s="23" t="s">
        <v>430</v>
      </c>
      <c r="B49" s="24">
        <v>45600</v>
      </c>
      <c r="C49" s="23" t="s">
        <v>339</v>
      </c>
      <c r="D49" s="23" t="s">
        <v>348</v>
      </c>
      <c r="E49" s="23" t="s">
        <v>351</v>
      </c>
      <c r="F49" s="23" t="s">
        <v>355</v>
      </c>
      <c r="G49" s="23" t="s">
        <v>363</v>
      </c>
      <c r="H49" s="23">
        <v>38</v>
      </c>
      <c r="I49" s="25">
        <v>5966</v>
      </c>
      <c r="J49" s="25">
        <v>218</v>
      </c>
      <c r="K49" s="25">
        <v>22678</v>
      </c>
      <c r="L49" s="25">
        <v>1524</v>
      </c>
      <c r="M49" s="23" t="s">
        <v>373</v>
      </c>
      <c r="N49" s="23" t="s">
        <v>416</v>
      </c>
    </row>
    <row r="50" spans="1:14" x14ac:dyDescent="0.35">
      <c r="A50" s="23" t="s">
        <v>431</v>
      </c>
      <c r="B50" s="24">
        <v>45500</v>
      </c>
      <c r="C50" s="23" t="s">
        <v>343</v>
      </c>
      <c r="D50" s="23" t="s">
        <v>350</v>
      </c>
      <c r="E50" s="23" t="s">
        <v>352</v>
      </c>
      <c r="F50" s="23" t="s">
        <v>355</v>
      </c>
      <c r="G50" s="23" t="s">
        <v>363</v>
      </c>
      <c r="H50" s="23">
        <v>297</v>
      </c>
      <c r="I50" s="25">
        <v>5971</v>
      </c>
      <c r="J50" s="25">
        <v>45814</v>
      </c>
      <c r="K50" s="25">
        <v>1773387</v>
      </c>
      <c r="L50" s="25">
        <v>13951</v>
      </c>
      <c r="M50" s="23" t="s">
        <v>372</v>
      </c>
      <c r="N50" s="23" t="s">
        <v>415</v>
      </c>
    </row>
    <row r="51" spans="1:14" x14ac:dyDescent="0.35">
      <c r="A51" s="23" t="s">
        <v>47</v>
      </c>
      <c r="B51" s="24">
        <v>45686</v>
      </c>
      <c r="C51" s="23" t="s">
        <v>341</v>
      </c>
      <c r="D51" s="23" t="s">
        <v>348</v>
      </c>
      <c r="E51" s="23" t="s">
        <v>352</v>
      </c>
      <c r="F51" s="23" t="s">
        <v>357</v>
      </c>
      <c r="G51" s="23" t="s">
        <v>362</v>
      </c>
      <c r="H51" s="23">
        <v>221</v>
      </c>
      <c r="I51" s="25">
        <v>13838</v>
      </c>
      <c r="J51" s="25">
        <v>352</v>
      </c>
      <c r="K51" s="25">
        <v>358198</v>
      </c>
      <c r="L51" s="25">
        <v>2284256</v>
      </c>
      <c r="M51" s="23" t="s">
        <v>366</v>
      </c>
      <c r="N51" s="23" t="s">
        <v>412</v>
      </c>
    </row>
    <row r="52" spans="1:14" x14ac:dyDescent="0.35">
      <c r="A52" s="23" t="s">
        <v>432</v>
      </c>
      <c r="B52" s="24">
        <v>45782</v>
      </c>
      <c r="C52" s="23" t="s">
        <v>343</v>
      </c>
      <c r="D52" s="23" t="s">
        <v>348</v>
      </c>
      <c r="E52" s="23" t="s">
        <v>353</v>
      </c>
      <c r="F52" s="23" t="s">
        <v>356</v>
      </c>
      <c r="G52" s="23" t="s">
        <v>362</v>
      </c>
      <c r="H52" s="23">
        <v>121</v>
      </c>
      <c r="I52" s="25">
        <v>7568</v>
      </c>
      <c r="J52" s="25">
        <v>5171</v>
      </c>
      <c r="K52" s="25">
        <v>915728</v>
      </c>
      <c r="L52" s="25">
        <v>2937</v>
      </c>
      <c r="M52" s="23" t="s">
        <v>368</v>
      </c>
      <c r="N52" s="23" t="s">
        <v>417</v>
      </c>
    </row>
    <row r="53" spans="1:14" x14ac:dyDescent="0.35">
      <c r="A53" s="23" t="s">
        <v>48</v>
      </c>
      <c r="B53" s="24">
        <v>45751</v>
      </c>
      <c r="C53" s="23" t="s">
        <v>339</v>
      </c>
      <c r="D53" s="23" t="s">
        <v>348</v>
      </c>
      <c r="E53" s="23" t="s">
        <v>353</v>
      </c>
      <c r="F53" s="23" t="s">
        <v>357</v>
      </c>
      <c r="G53" s="23" t="s">
        <v>362</v>
      </c>
      <c r="H53" s="23">
        <v>216</v>
      </c>
      <c r="I53" s="25">
        <v>1973</v>
      </c>
      <c r="J53" s="25">
        <v>2513</v>
      </c>
      <c r="K53" s="25">
        <v>237168</v>
      </c>
      <c r="L53" s="25">
        <v>182736</v>
      </c>
      <c r="M53" s="23" t="s">
        <v>365</v>
      </c>
      <c r="N53" s="23" t="s">
        <v>417</v>
      </c>
    </row>
    <row r="54" spans="1:14" x14ac:dyDescent="0.35">
      <c r="A54" s="23" t="s">
        <v>49</v>
      </c>
      <c r="B54" s="24">
        <v>45744</v>
      </c>
      <c r="C54" s="23" t="s">
        <v>344</v>
      </c>
      <c r="D54" s="23" t="s">
        <v>348</v>
      </c>
      <c r="E54" s="23" t="s">
        <v>353</v>
      </c>
      <c r="F54" s="23" t="s">
        <v>355</v>
      </c>
      <c r="G54" s="23" t="s">
        <v>362</v>
      </c>
      <c r="H54" s="23">
        <v>189</v>
      </c>
      <c r="I54" s="25">
        <v>21</v>
      </c>
      <c r="J54" s="25">
        <v>273</v>
      </c>
      <c r="K54" s="25">
        <v>37989</v>
      </c>
      <c r="L54" s="25">
        <v>1368</v>
      </c>
      <c r="M54" s="23" t="s">
        <v>364</v>
      </c>
      <c r="N54" s="23" t="s">
        <v>412</v>
      </c>
    </row>
    <row r="55" spans="1:14" x14ac:dyDescent="0.35">
      <c r="A55" s="23" t="s">
        <v>50</v>
      </c>
      <c r="B55" s="24">
        <v>45568</v>
      </c>
      <c r="C55" s="23" t="s">
        <v>345</v>
      </c>
      <c r="D55" s="23" t="s">
        <v>348</v>
      </c>
      <c r="E55" s="23" t="s">
        <v>351</v>
      </c>
      <c r="F55" s="23" t="s">
        <v>355</v>
      </c>
      <c r="G55" s="23" t="s">
        <v>363</v>
      </c>
      <c r="H55" s="23">
        <v>5</v>
      </c>
      <c r="I55" s="25">
        <v>12243</v>
      </c>
      <c r="J55" s="25">
        <v>457</v>
      </c>
      <c r="K55" s="25">
        <v>61215</v>
      </c>
      <c r="L55" s="25">
        <v>38365</v>
      </c>
      <c r="M55" s="23" t="s">
        <v>369</v>
      </c>
      <c r="N55" s="23" t="s">
        <v>416</v>
      </c>
    </row>
    <row r="56" spans="1:14" x14ac:dyDescent="0.35">
      <c r="A56" s="23" t="s">
        <v>51</v>
      </c>
      <c r="B56" s="24">
        <v>45424</v>
      </c>
      <c r="C56" s="23" t="s">
        <v>338</v>
      </c>
      <c r="D56" s="23" t="s">
        <v>350</v>
      </c>
      <c r="E56" s="23" t="s">
        <v>352</v>
      </c>
      <c r="F56" s="23" t="s">
        <v>355</v>
      </c>
      <c r="G56" s="23" t="s">
        <v>362</v>
      </c>
      <c r="H56" s="23">
        <v>61</v>
      </c>
      <c r="I56" s="25">
        <v>711</v>
      </c>
      <c r="J56" s="25">
        <v>4294</v>
      </c>
      <c r="K56" s="25">
        <v>43371</v>
      </c>
      <c r="L56" s="25">
        <v>218563</v>
      </c>
      <c r="M56" s="23" t="s">
        <v>368</v>
      </c>
      <c r="N56" s="23" t="s">
        <v>413</v>
      </c>
    </row>
    <row r="57" spans="1:14" x14ac:dyDescent="0.35">
      <c r="A57" s="23" t="s">
        <v>52</v>
      </c>
      <c r="B57" s="24">
        <v>45771</v>
      </c>
      <c r="C57" s="23" t="s">
        <v>342</v>
      </c>
      <c r="D57" s="23" t="s">
        <v>348</v>
      </c>
      <c r="E57" s="23" t="s">
        <v>353</v>
      </c>
      <c r="F57" s="23" t="s">
        <v>356</v>
      </c>
      <c r="G57" s="23" t="s">
        <v>362</v>
      </c>
      <c r="H57" s="23">
        <v>24</v>
      </c>
      <c r="I57" s="25">
        <v>959</v>
      </c>
      <c r="J57" s="25">
        <v>2217</v>
      </c>
      <c r="K57" s="25">
        <v>217416</v>
      </c>
      <c r="L57" s="25">
        <v>16428</v>
      </c>
      <c r="M57" s="23" t="s">
        <v>365</v>
      </c>
      <c r="N57" s="23" t="s">
        <v>417</v>
      </c>
    </row>
    <row r="58" spans="1:14" x14ac:dyDescent="0.35">
      <c r="A58" s="23" t="s">
        <v>433</v>
      </c>
      <c r="B58" s="24">
        <v>45343</v>
      </c>
      <c r="C58" s="23" t="s">
        <v>339</v>
      </c>
      <c r="D58" s="23" t="s">
        <v>346</v>
      </c>
      <c r="E58" s="23" t="s">
        <v>351</v>
      </c>
      <c r="F58" s="23" t="s">
        <v>359</v>
      </c>
      <c r="G58" s="23" t="s">
        <v>362</v>
      </c>
      <c r="H58" s="23">
        <v>259</v>
      </c>
      <c r="I58" s="25">
        <v>791</v>
      </c>
      <c r="J58" s="25">
        <v>1245</v>
      </c>
      <c r="K58" s="25">
        <v>1836569</v>
      </c>
      <c r="L58" s="25">
        <v>1514114</v>
      </c>
      <c r="M58" s="23" t="s">
        <v>374</v>
      </c>
      <c r="N58" s="23" t="s">
        <v>414</v>
      </c>
    </row>
    <row r="59" spans="1:14" x14ac:dyDescent="0.35">
      <c r="A59" s="23" t="s">
        <v>53</v>
      </c>
      <c r="B59" s="24">
        <v>45664</v>
      </c>
      <c r="C59" s="23" t="s">
        <v>345</v>
      </c>
      <c r="D59" s="23" t="s">
        <v>346</v>
      </c>
      <c r="E59" s="23" t="s">
        <v>353</v>
      </c>
      <c r="F59" s="23" t="s">
        <v>358</v>
      </c>
      <c r="G59" s="23" t="s">
        <v>362</v>
      </c>
      <c r="H59" s="23">
        <v>188</v>
      </c>
      <c r="I59" s="25">
        <v>9297</v>
      </c>
      <c r="J59" s="25">
        <v>555</v>
      </c>
      <c r="K59" s="25">
        <v>1747836</v>
      </c>
      <c r="L59" s="25">
        <v>712896</v>
      </c>
      <c r="M59" s="23" t="s">
        <v>366</v>
      </c>
      <c r="N59" s="23" t="s">
        <v>412</v>
      </c>
    </row>
    <row r="60" spans="1:14" x14ac:dyDescent="0.35">
      <c r="A60" s="23" t="s">
        <v>54</v>
      </c>
      <c r="B60" s="24">
        <v>45413</v>
      </c>
      <c r="C60" s="23" t="s">
        <v>341</v>
      </c>
      <c r="D60" s="23" t="s">
        <v>346</v>
      </c>
      <c r="E60" s="23" t="s">
        <v>353</v>
      </c>
      <c r="F60" s="23" t="s">
        <v>357</v>
      </c>
      <c r="G60" s="23" t="s">
        <v>363</v>
      </c>
      <c r="H60" s="23">
        <v>28</v>
      </c>
      <c r="I60" s="25">
        <v>853</v>
      </c>
      <c r="J60" s="25">
        <v>943</v>
      </c>
      <c r="K60" s="25">
        <v>23884</v>
      </c>
      <c r="L60" s="25">
        <v>252</v>
      </c>
      <c r="M60" s="23" t="s">
        <v>368</v>
      </c>
      <c r="N60" s="23" t="s">
        <v>413</v>
      </c>
    </row>
    <row r="61" spans="1:14" x14ac:dyDescent="0.35">
      <c r="A61" s="23" t="s">
        <v>55</v>
      </c>
      <c r="B61" s="24">
        <v>45624</v>
      </c>
      <c r="C61" s="23" t="s">
        <v>339</v>
      </c>
      <c r="D61" s="23" t="s">
        <v>348</v>
      </c>
      <c r="E61" s="23" t="s">
        <v>351</v>
      </c>
      <c r="F61" s="23" t="s">
        <v>360</v>
      </c>
      <c r="G61" s="23" t="s">
        <v>362</v>
      </c>
      <c r="H61" s="23">
        <v>27</v>
      </c>
      <c r="I61" s="25">
        <v>0</v>
      </c>
      <c r="J61" s="25">
        <v>4661</v>
      </c>
      <c r="K61" s="25">
        <v>1040637</v>
      </c>
      <c r="L61" s="25">
        <v>17892</v>
      </c>
      <c r="M61" s="23" t="s">
        <v>373</v>
      </c>
      <c r="N61" s="23" t="s">
        <v>416</v>
      </c>
    </row>
    <row r="62" spans="1:14" x14ac:dyDescent="0.35">
      <c r="A62" s="23" t="s">
        <v>434</v>
      </c>
      <c r="B62" s="24">
        <v>45314</v>
      </c>
      <c r="C62" s="23" t="s">
        <v>345</v>
      </c>
      <c r="D62" s="23" t="s">
        <v>348</v>
      </c>
      <c r="E62" s="23" t="s">
        <v>354</v>
      </c>
      <c r="F62" s="23" t="s">
        <v>357</v>
      </c>
      <c r="G62" s="23" t="s">
        <v>363</v>
      </c>
      <c r="H62" s="23">
        <v>48</v>
      </c>
      <c r="I62" s="25">
        <v>13642</v>
      </c>
      <c r="J62" s="25">
        <v>9161</v>
      </c>
      <c r="K62" s="25">
        <v>654816</v>
      </c>
      <c r="L62" s="25">
        <v>21588</v>
      </c>
      <c r="M62" s="23" t="s">
        <v>366</v>
      </c>
      <c r="N62" s="23" t="s">
        <v>414</v>
      </c>
    </row>
    <row r="63" spans="1:14" x14ac:dyDescent="0.35">
      <c r="A63" s="23" t="s">
        <v>435</v>
      </c>
      <c r="B63" s="24">
        <v>45333</v>
      </c>
      <c r="C63" s="23" t="s">
        <v>338</v>
      </c>
      <c r="D63" s="23" t="s">
        <v>348</v>
      </c>
      <c r="E63" s="23" t="s">
        <v>353</v>
      </c>
      <c r="F63" s="23" t="s">
        <v>357</v>
      </c>
      <c r="G63" s="23" t="s">
        <v>362</v>
      </c>
      <c r="H63" s="23">
        <v>52</v>
      </c>
      <c r="I63" s="25">
        <v>0</v>
      </c>
      <c r="J63" s="25">
        <v>7379</v>
      </c>
      <c r="K63" s="25">
        <v>58552</v>
      </c>
      <c r="L63" s="25">
        <v>325156</v>
      </c>
      <c r="M63" s="23" t="s">
        <v>374</v>
      </c>
      <c r="N63" s="23" t="s">
        <v>414</v>
      </c>
    </row>
    <row r="64" spans="1:14" x14ac:dyDescent="0.35">
      <c r="A64" s="23" t="s">
        <v>56</v>
      </c>
      <c r="B64" s="24">
        <v>45649</v>
      </c>
      <c r="C64" s="23" t="s">
        <v>338</v>
      </c>
      <c r="D64" s="23" t="s">
        <v>348</v>
      </c>
      <c r="E64" s="23" t="s">
        <v>352</v>
      </c>
      <c r="F64" s="23" t="s">
        <v>356</v>
      </c>
      <c r="G64" s="23" t="s">
        <v>362</v>
      </c>
      <c r="H64" s="23">
        <v>278</v>
      </c>
      <c r="I64" s="25">
        <v>7199</v>
      </c>
      <c r="J64" s="25">
        <v>525</v>
      </c>
      <c r="K64" s="25">
        <v>21322</v>
      </c>
      <c r="L64" s="25">
        <v>1855372</v>
      </c>
      <c r="M64" s="23" t="s">
        <v>375</v>
      </c>
      <c r="N64" s="23" t="s">
        <v>416</v>
      </c>
    </row>
    <row r="65" spans="1:14" x14ac:dyDescent="0.35">
      <c r="A65" s="23" t="s">
        <v>57</v>
      </c>
      <c r="B65" s="24">
        <v>45756</v>
      </c>
      <c r="C65" s="23" t="s">
        <v>340</v>
      </c>
      <c r="D65" s="23" t="s">
        <v>348</v>
      </c>
      <c r="E65" s="23" t="s">
        <v>354</v>
      </c>
      <c r="F65" s="23" t="s">
        <v>361</v>
      </c>
      <c r="G65" s="23" t="s">
        <v>362</v>
      </c>
      <c r="H65" s="23">
        <v>216</v>
      </c>
      <c r="I65" s="25">
        <v>3472</v>
      </c>
      <c r="J65" s="25">
        <v>8323</v>
      </c>
      <c r="K65" s="25">
        <v>749952</v>
      </c>
      <c r="L65" s="25">
        <v>147816</v>
      </c>
      <c r="M65" s="23" t="s">
        <v>365</v>
      </c>
      <c r="N65" s="23" t="s">
        <v>417</v>
      </c>
    </row>
    <row r="66" spans="1:14" x14ac:dyDescent="0.35">
      <c r="A66" s="23" t="s">
        <v>58</v>
      </c>
      <c r="B66" s="24">
        <v>45743</v>
      </c>
      <c r="C66" s="23" t="s">
        <v>345</v>
      </c>
      <c r="D66" s="23" t="s">
        <v>346</v>
      </c>
      <c r="E66" s="23" t="s">
        <v>354</v>
      </c>
      <c r="F66" s="23" t="s">
        <v>357</v>
      </c>
      <c r="G66" s="23" t="s">
        <v>363</v>
      </c>
      <c r="H66" s="23">
        <v>15</v>
      </c>
      <c r="I66" s="25">
        <v>786</v>
      </c>
      <c r="J66" s="25">
        <v>97</v>
      </c>
      <c r="K66" s="25">
        <v>1179</v>
      </c>
      <c r="L66" s="25">
        <v>13371</v>
      </c>
      <c r="M66" s="23" t="s">
        <v>364</v>
      </c>
      <c r="N66" s="23" t="s">
        <v>412</v>
      </c>
    </row>
    <row r="67" spans="1:14" x14ac:dyDescent="0.35">
      <c r="A67" s="23" t="s">
        <v>59</v>
      </c>
      <c r="B67" s="24">
        <v>45603</v>
      </c>
      <c r="C67" s="23" t="s">
        <v>339</v>
      </c>
      <c r="D67" s="23" t="s">
        <v>350</v>
      </c>
      <c r="E67" s="23" t="s">
        <v>351</v>
      </c>
      <c r="F67" s="23" t="s">
        <v>361</v>
      </c>
      <c r="G67" s="23" t="s">
        <v>362</v>
      </c>
      <c r="H67" s="23">
        <v>25</v>
      </c>
      <c r="I67" s="25">
        <v>0</v>
      </c>
      <c r="J67" s="25">
        <v>7755</v>
      </c>
      <c r="K67" s="25">
        <v>2835</v>
      </c>
      <c r="L67" s="25">
        <v>89625</v>
      </c>
      <c r="M67" s="23" t="s">
        <v>373</v>
      </c>
      <c r="N67" s="23" t="s">
        <v>416</v>
      </c>
    </row>
    <row r="68" spans="1:14" x14ac:dyDescent="0.35">
      <c r="A68" s="23" t="s">
        <v>436</v>
      </c>
      <c r="B68" s="24">
        <v>45381</v>
      </c>
      <c r="C68" s="23" t="s">
        <v>342</v>
      </c>
      <c r="D68" s="23" t="s">
        <v>348</v>
      </c>
      <c r="E68" s="23" t="s">
        <v>351</v>
      </c>
      <c r="F68" s="23" t="s">
        <v>361</v>
      </c>
      <c r="G68" s="23" t="s">
        <v>363</v>
      </c>
      <c r="H68" s="23">
        <v>267</v>
      </c>
      <c r="I68" s="25">
        <v>9115</v>
      </c>
      <c r="J68" s="25">
        <v>735</v>
      </c>
      <c r="K68" s="25">
        <v>243375</v>
      </c>
      <c r="L68" s="25">
        <v>555361</v>
      </c>
      <c r="M68" s="23" t="s">
        <v>364</v>
      </c>
      <c r="N68" s="23" t="s">
        <v>414</v>
      </c>
    </row>
    <row r="69" spans="1:14" x14ac:dyDescent="0.35">
      <c r="A69" s="23" t="s">
        <v>437</v>
      </c>
      <c r="B69" s="24">
        <v>45632</v>
      </c>
      <c r="C69" s="23" t="s">
        <v>341</v>
      </c>
      <c r="D69" s="23" t="s">
        <v>346</v>
      </c>
      <c r="E69" s="23" t="s">
        <v>353</v>
      </c>
      <c r="F69" s="23" t="s">
        <v>357</v>
      </c>
      <c r="G69" s="23" t="s">
        <v>362</v>
      </c>
      <c r="H69" s="26">
        <v>45659</v>
      </c>
      <c r="I69" s="25">
        <v>12774</v>
      </c>
      <c r="J69" s="25">
        <v>8629</v>
      </c>
      <c r="K69" s="25">
        <v>132948</v>
      </c>
      <c r="L69" s="25">
        <v>42279</v>
      </c>
      <c r="M69" s="23" t="s">
        <v>375</v>
      </c>
      <c r="N69" s="23" t="s">
        <v>416</v>
      </c>
    </row>
    <row r="70" spans="1:14" x14ac:dyDescent="0.35">
      <c r="A70" s="23" t="s">
        <v>437</v>
      </c>
      <c r="B70" s="24">
        <v>45326</v>
      </c>
      <c r="C70" s="23" t="s">
        <v>341</v>
      </c>
      <c r="D70" s="23" t="s">
        <v>346</v>
      </c>
      <c r="E70" s="23" t="s">
        <v>352</v>
      </c>
      <c r="F70" s="23" t="s">
        <v>359</v>
      </c>
      <c r="G70" s="23" t="s">
        <v>362</v>
      </c>
      <c r="H70" s="23">
        <v>2</v>
      </c>
      <c r="I70" s="25">
        <v>5936</v>
      </c>
      <c r="J70" s="25">
        <v>3686</v>
      </c>
      <c r="K70" s="25">
        <v>11872</v>
      </c>
      <c r="L70" s="25">
        <v>45</v>
      </c>
      <c r="M70" s="23" t="s">
        <v>374</v>
      </c>
      <c r="N70" s="23" t="s">
        <v>414</v>
      </c>
    </row>
    <row r="71" spans="1:14" x14ac:dyDescent="0.35">
      <c r="A71" s="23" t="s">
        <v>60</v>
      </c>
      <c r="B71" s="24">
        <v>45586</v>
      </c>
      <c r="C71" s="23" t="s">
        <v>342</v>
      </c>
      <c r="D71" s="23" t="s">
        <v>348</v>
      </c>
      <c r="E71" s="23" t="s">
        <v>353</v>
      </c>
      <c r="F71" s="23" t="s">
        <v>356</v>
      </c>
      <c r="G71" s="23" t="s">
        <v>362</v>
      </c>
      <c r="H71" s="23">
        <v>53</v>
      </c>
      <c r="I71" s="25">
        <v>1277</v>
      </c>
      <c r="J71" s="25">
        <v>6458</v>
      </c>
      <c r="K71" s="25">
        <v>673471</v>
      </c>
      <c r="L71" s="25">
        <v>331197</v>
      </c>
      <c r="M71" s="23" t="s">
        <v>369</v>
      </c>
      <c r="N71" s="23" t="s">
        <v>416</v>
      </c>
    </row>
    <row r="72" spans="1:14" x14ac:dyDescent="0.35">
      <c r="A72" s="23" t="s">
        <v>438</v>
      </c>
      <c r="B72" s="24">
        <v>45368</v>
      </c>
      <c r="C72" s="23" t="s">
        <v>345</v>
      </c>
      <c r="D72" s="23" t="s">
        <v>348</v>
      </c>
      <c r="E72" s="23" t="s">
        <v>353</v>
      </c>
      <c r="F72" s="23" t="s">
        <v>358</v>
      </c>
      <c r="G72" s="23" t="s">
        <v>363</v>
      </c>
      <c r="H72" s="23">
        <v>128</v>
      </c>
      <c r="I72" s="25">
        <v>0</v>
      </c>
      <c r="J72" s="25">
        <v>8522</v>
      </c>
      <c r="K72" s="25">
        <v>159656</v>
      </c>
      <c r="L72" s="25">
        <v>49984</v>
      </c>
      <c r="M72" s="23" t="s">
        <v>364</v>
      </c>
      <c r="N72" s="23" t="s">
        <v>414</v>
      </c>
    </row>
    <row r="73" spans="1:14" x14ac:dyDescent="0.35">
      <c r="A73" s="23" t="s">
        <v>61</v>
      </c>
      <c r="B73" s="24">
        <v>45559</v>
      </c>
      <c r="C73" s="23" t="s">
        <v>341</v>
      </c>
      <c r="D73" s="23" t="s">
        <v>348</v>
      </c>
      <c r="E73" s="23" t="s">
        <v>354</v>
      </c>
      <c r="F73" s="23" t="s">
        <v>356</v>
      </c>
      <c r="G73" s="23" t="s">
        <v>363</v>
      </c>
      <c r="H73" s="23">
        <v>3</v>
      </c>
      <c r="I73" s="25">
        <v>2738</v>
      </c>
      <c r="J73" s="25">
        <v>7547</v>
      </c>
      <c r="K73" s="25">
        <v>8214</v>
      </c>
      <c r="L73" s="25">
        <v>14427</v>
      </c>
      <c r="M73" s="23" t="s">
        <v>367</v>
      </c>
      <c r="N73" s="23" t="s">
        <v>415</v>
      </c>
    </row>
    <row r="74" spans="1:14" x14ac:dyDescent="0.35">
      <c r="A74" s="23" t="s">
        <v>439</v>
      </c>
      <c r="B74" s="24">
        <v>45312</v>
      </c>
      <c r="C74" s="23" t="s">
        <v>345</v>
      </c>
      <c r="D74" s="23" t="s">
        <v>348</v>
      </c>
      <c r="E74" s="23" t="s">
        <v>354</v>
      </c>
      <c r="F74" s="23" t="s">
        <v>355</v>
      </c>
      <c r="G74" s="23" t="s">
        <v>363</v>
      </c>
      <c r="H74" s="23">
        <v>252</v>
      </c>
      <c r="I74" s="25">
        <v>8597</v>
      </c>
      <c r="J74" s="25">
        <v>6717</v>
      </c>
      <c r="K74" s="25">
        <v>2166444</v>
      </c>
      <c r="L74" s="25">
        <v>47376</v>
      </c>
      <c r="M74" s="23" t="s">
        <v>366</v>
      </c>
      <c r="N74" s="23" t="s">
        <v>414</v>
      </c>
    </row>
    <row r="75" spans="1:14" x14ac:dyDescent="0.35">
      <c r="A75" s="23" t="s">
        <v>62</v>
      </c>
      <c r="B75" s="24">
        <v>45725</v>
      </c>
      <c r="C75" s="23" t="s">
        <v>343</v>
      </c>
      <c r="D75" s="23" t="s">
        <v>350</v>
      </c>
      <c r="E75" s="23" t="s">
        <v>351</v>
      </c>
      <c r="F75" s="23" t="s">
        <v>360</v>
      </c>
      <c r="G75" s="23" t="s">
        <v>363</v>
      </c>
      <c r="H75" s="23">
        <v>92</v>
      </c>
      <c r="I75" s="25">
        <v>6311</v>
      </c>
      <c r="J75" s="25">
        <v>7385</v>
      </c>
      <c r="K75" s="25">
        <v>58612</v>
      </c>
      <c r="L75" s="25">
        <v>9888</v>
      </c>
      <c r="M75" s="23" t="s">
        <v>364</v>
      </c>
      <c r="N75" s="23" t="s">
        <v>412</v>
      </c>
    </row>
    <row r="76" spans="1:14" x14ac:dyDescent="0.35">
      <c r="A76" s="23" t="s">
        <v>63</v>
      </c>
      <c r="B76" s="24">
        <v>45575</v>
      </c>
      <c r="C76" s="23" t="s">
        <v>344</v>
      </c>
      <c r="D76" s="23" t="s">
        <v>350</v>
      </c>
      <c r="E76" s="23" t="s">
        <v>352</v>
      </c>
      <c r="F76" s="23" t="s">
        <v>356</v>
      </c>
      <c r="G76" s="23" t="s">
        <v>363</v>
      </c>
      <c r="H76" s="23">
        <v>98</v>
      </c>
      <c r="I76" s="25">
        <v>5559</v>
      </c>
      <c r="J76" s="25">
        <v>6998</v>
      </c>
      <c r="K76" s="25">
        <v>544782</v>
      </c>
      <c r="L76" s="25">
        <v>14122</v>
      </c>
      <c r="M76" s="23" t="s">
        <v>369</v>
      </c>
      <c r="N76" s="23" t="s">
        <v>416</v>
      </c>
    </row>
    <row r="77" spans="1:14" x14ac:dyDescent="0.35">
      <c r="A77" s="23" t="s">
        <v>64</v>
      </c>
      <c r="B77" s="24">
        <v>45515</v>
      </c>
      <c r="C77" s="23" t="s">
        <v>343</v>
      </c>
      <c r="D77" s="23" t="s">
        <v>346</v>
      </c>
      <c r="E77" s="23" t="s">
        <v>354</v>
      </c>
      <c r="F77" s="23" t="s">
        <v>361</v>
      </c>
      <c r="G77" s="23" t="s">
        <v>363</v>
      </c>
      <c r="H77" s="23">
        <v>146</v>
      </c>
      <c r="I77" s="25">
        <v>6759</v>
      </c>
      <c r="J77" s="25">
        <v>6262</v>
      </c>
      <c r="K77" s="25">
        <v>986814</v>
      </c>
      <c r="L77" s="25">
        <v>725621</v>
      </c>
      <c r="M77" s="23" t="s">
        <v>371</v>
      </c>
      <c r="N77" s="23" t="s">
        <v>415</v>
      </c>
    </row>
    <row r="78" spans="1:14" x14ac:dyDescent="0.35">
      <c r="A78" s="23" t="s">
        <v>65</v>
      </c>
      <c r="B78" s="24">
        <v>45416</v>
      </c>
      <c r="C78" s="23" t="s">
        <v>345</v>
      </c>
      <c r="D78" s="23" t="s">
        <v>348</v>
      </c>
      <c r="E78" s="23" t="s">
        <v>354</v>
      </c>
      <c r="F78" s="23" t="s">
        <v>356</v>
      </c>
      <c r="G78" s="23" t="s">
        <v>363</v>
      </c>
      <c r="H78" s="23">
        <v>159</v>
      </c>
      <c r="I78" s="25">
        <v>6351</v>
      </c>
      <c r="J78" s="25">
        <v>3637</v>
      </c>
      <c r="K78" s="25">
        <v>1989</v>
      </c>
      <c r="L78" s="25">
        <v>431526</v>
      </c>
      <c r="M78" s="23" t="s">
        <v>368</v>
      </c>
      <c r="N78" s="23" t="s">
        <v>413</v>
      </c>
    </row>
    <row r="79" spans="1:14" x14ac:dyDescent="0.35">
      <c r="A79" s="23" t="s">
        <v>66</v>
      </c>
      <c r="B79" s="24">
        <v>45657</v>
      </c>
      <c r="C79" s="23" t="s">
        <v>342</v>
      </c>
      <c r="D79" s="23" t="s">
        <v>346</v>
      </c>
      <c r="E79" s="23" t="s">
        <v>354</v>
      </c>
      <c r="F79" s="23" t="s">
        <v>355</v>
      </c>
      <c r="G79" s="23" t="s">
        <v>363</v>
      </c>
      <c r="H79" s="23">
        <v>95</v>
      </c>
      <c r="I79" s="25">
        <v>1416</v>
      </c>
      <c r="J79" s="25">
        <v>1841</v>
      </c>
      <c r="K79" s="25">
        <v>133152</v>
      </c>
      <c r="L79" s="25">
        <v>1156625</v>
      </c>
      <c r="M79" s="23" t="s">
        <v>375</v>
      </c>
      <c r="N79" s="23" t="s">
        <v>416</v>
      </c>
    </row>
    <row r="80" spans="1:14" x14ac:dyDescent="0.35">
      <c r="A80" s="23" t="s">
        <v>67</v>
      </c>
      <c r="B80" s="24">
        <v>45638</v>
      </c>
      <c r="C80" s="23" t="s">
        <v>340</v>
      </c>
      <c r="D80" s="23" t="s">
        <v>346</v>
      </c>
      <c r="E80" s="23" t="s">
        <v>353</v>
      </c>
      <c r="F80" s="23" t="s">
        <v>357</v>
      </c>
      <c r="G80" s="23" t="s">
        <v>363</v>
      </c>
      <c r="H80" s="23">
        <v>123</v>
      </c>
      <c r="I80" s="25">
        <v>1973</v>
      </c>
      <c r="J80" s="25">
        <v>9869</v>
      </c>
      <c r="K80" s="25">
        <v>1349679</v>
      </c>
      <c r="L80" s="25">
        <v>135792</v>
      </c>
      <c r="M80" s="23" t="s">
        <v>375</v>
      </c>
      <c r="N80" s="23" t="s">
        <v>416</v>
      </c>
    </row>
    <row r="81" spans="1:14" x14ac:dyDescent="0.35">
      <c r="A81" s="23" t="s">
        <v>68</v>
      </c>
      <c r="B81" s="24">
        <v>45655</v>
      </c>
      <c r="C81" s="23" t="s">
        <v>343</v>
      </c>
      <c r="D81" s="23" t="s">
        <v>348</v>
      </c>
      <c r="E81" s="23" t="s">
        <v>351</v>
      </c>
      <c r="F81" s="23" t="s">
        <v>361</v>
      </c>
      <c r="G81" s="23" t="s">
        <v>362</v>
      </c>
      <c r="H81" s="23">
        <v>238</v>
      </c>
      <c r="I81" s="25">
        <v>763</v>
      </c>
      <c r="J81" s="25">
        <v>846</v>
      </c>
      <c r="K81" s="25">
        <v>181594</v>
      </c>
      <c r="L81" s="25">
        <v>1733354</v>
      </c>
      <c r="M81" s="23" t="s">
        <v>375</v>
      </c>
      <c r="N81" s="23" t="s">
        <v>416</v>
      </c>
    </row>
    <row r="82" spans="1:14" x14ac:dyDescent="0.35">
      <c r="A82" s="23" t="s">
        <v>440</v>
      </c>
      <c r="B82" s="24">
        <v>45346</v>
      </c>
      <c r="C82" s="23" t="s">
        <v>340</v>
      </c>
      <c r="D82" s="23" t="s">
        <v>346</v>
      </c>
      <c r="E82" s="23" t="s">
        <v>354</v>
      </c>
      <c r="F82" s="23" t="s">
        <v>357</v>
      </c>
      <c r="G82" s="23" t="s">
        <v>363</v>
      </c>
      <c r="H82" s="23">
        <v>43</v>
      </c>
      <c r="I82" s="25">
        <v>13567</v>
      </c>
      <c r="J82" s="25">
        <v>556</v>
      </c>
      <c r="K82" s="25">
        <v>583381</v>
      </c>
      <c r="L82" s="25">
        <v>365973</v>
      </c>
      <c r="M82" s="23" t="s">
        <v>374</v>
      </c>
      <c r="N82" s="23" t="s">
        <v>414</v>
      </c>
    </row>
    <row r="83" spans="1:14" x14ac:dyDescent="0.35">
      <c r="A83" s="23" t="s">
        <v>69</v>
      </c>
      <c r="B83" s="24">
        <v>45787</v>
      </c>
      <c r="C83" s="23" t="s">
        <v>343</v>
      </c>
      <c r="D83" s="23" t="s">
        <v>350</v>
      </c>
      <c r="E83" s="23" t="s">
        <v>351</v>
      </c>
      <c r="F83" s="23" t="s">
        <v>381</v>
      </c>
      <c r="G83" s="23" t="s">
        <v>362</v>
      </c>
      <c r="H83" s="23">
        <v>234</v>
      </c>
      <c r="I83" s="25">
        <v>4396</v>
      </c>
      <c r="J83" s="25">
        <v>248</v>
      </c>
      <c r="K83" s="25">
        <v>128664</v>
      </c>
      <c r="L83" s="25">
        <v>97632</v>
      </c>
      <c r="M83" s="23" t="s">
        <v>368</v>
      </c>
      <c r="N83" s="23" t="s">
        <v>417</v>
      </c>
    </row>
    <row r="84" spans="1:14" x14ac:dyDescent="0.35">
      <c r="A84" s="23" t="s">
        <v>70</v>
      </c>
      <c r="B84" s="24">
        <v>45556</v>
      </c>
      <c r="C84" s="23" t="s">
        <v>340</v>
      </c>
      <c r="D84" s="23" t="s">
        <v>346</v>
      </c>
      <c r="E84" s="23" t="s">
        <v>354</v>
      </c>
      <c r="F84" s="23" t="s">
        <v>361</v>
      </c>
      <c r="G84" s="23" t="s">
        <v>362</v>
      </c>
      <c r="H84" s="23">
        <v>96</v>
      </c>
      <c r="I84" s="25">
        <v>9354</v>
      </c>
      <c r="J84" s="25">
        <v>8741</v>
      </c>
      <c r="K84" s="25">
        <v>897984</v>
      </c>
      <c r="L84" s="25">
        <v>58848</v>
      </c>
      <c r="M84" s="23" t="s">
        <v>367</v>
      </c>
      <c r="N84" s="23" t="s">
        <v>415</v>
      </c>
    </row>
    <row r="85" spans="1:14" x14ac:dyDescent="0.35">
      <c r="A85" s="23" t="s">
        <v>439</v>
      </c>
      <c r="B85" s="24">
        <v>45492</v>
      </c>
      <c r="C85" s="23" t="s">
        <v>341</v>
      </c>
      <c r="D85" s="23" t="s">
        <v>346</v>
      </c>
      <c r="E85" s="23" t="s">
        <v>351</v>
      </c>
      <c r="F85" s="23" t="s">
        <v>360</v>
      </c>
      <c r="G85" s="23" t="s">
        <v>362</v>
      </c>
      <c r="H85" s="23">
        <v>146</v>
      </c>
      <c r="I85" s="25">
        <v>1348</v>
      </c>
      <c r="J85" s="25">
        <v>56</v>
      </c>
      <c r="K85" s="25">
        <v>19688</v>
      </c>
      <c r="L85" s="25">
        <v>122932</v>
      </c>
      <c r="M85" s="23" t="s">
        <v>372</v>
      </c>
      <c r="N85" s="23" t="s">
        <v>415</v>
      </c>
    </row>
    <row r="86" spans="1:14" x14ac:dyDescent="0.35">
      <c r="A86" s="23" t="s">
        <v>71</v>
      </c>
      <c r="B86" s="24">
        <v>45408</v>
      </c>
      <c r="C86" s="23" t="s">
        <v>338</v>
      </c>
      <c r="D86" s="23" t="s">
        <v>348</v>
      </c>
      <c r="E86" s="23" t="s">
        <v>353</v>
      </c>
      <c r="F86" s="23" t="s">
        <v>356</v>
      </c>
      <c r="G86" s="23" t="s">
        <v>363</v>
      </c>
      <c r="H86" s="23">
        <v>221</v>
      </c>
      <c r="I86" s="25">
        <v>1238</v>
      </c>
      <c r="J86" s="25">
        <v>439</v>
      </c>
      <c r="K86" s="25">
        <v>2262598</v>
      </c>
      <c r="L86" s="25">
        <v>2165579</v>
      </c>
      <c r="M86" s="23" t="s">
        <v>365</v>
      </c>
      <c r="N86" s="23" t="s">
        <v>413</v>
      </c>
    </row>
    <row r="87" spans="1:14" x14ac:dyDescent="0.35">
      <c r="A87" s="23" t="s">
        <v>72</v>
      </c>
      <c r="B87" s="24">
        <v>45491</v>
      </c>
      <c r="C87" s="23" t="s">
        <v>339</v>
      </c>
      <c r="D87" s="23" t="s">
        <v>346</v>
      </c>
      <c r="E87" s="23" t="s">
        <v>353</v>
      </c>
      <c r="F87" s="23" t="s">
        <v>359</v>
      </c>
      <c r="G87" s="23" t="s">
        <v>363</v>
      </c>
      <c r="H87" s="23">
        <v>251</v>
      </c>
      <c r="I87" s="25">
        <v>1844</v>
      </c>
      <c r="J87" s="25">
        <v>729</v>
      </c>
      <c r="K87" s="25">
        <v>2721844</v>
      </c>
      <c r="L87" s="25">
        <v>89254</v>
      </c>
      <c r="M87" s="23" t="s">
        <v>372</v>
      </c>
      <c r="N87" s="23" t="s">
        <v>415</v>
      </c>
    </row>
    <row r="88" spans="1:14" x14ac:dyDescent="0.35">
      <c r="A88" s="23" t="s">
        <v>441</v>
      </c>
      <c r="B88" s="24">
        <v>45377</v>
      </c>
      <c r="C88" s="23" t="s">
        <v>338</v>
      </c>
      <c r="D88" s="23" t="s">
        <v>348</v>
      </c>
      <c r="E88" s="23" t="s">
        <v>351</v>
      </c>
      <c r="F88" s="23" t="s">
        <v>356</v>
      </c>
      <c r="G88" s="23" t="s">
        <v>362</v>
      </c>
      <c r="H88" s="23">
        <v>4</v>
      </c>
      <c r="I88" s="25">
        <v>5959</v>
      </c>
      <c r="J88" s="25">
        <v>197</v>
      </c>
      <c r="K88" s="25">
        <v>23836</v>
      </c>
      <c r="L88" s="25">
        <v>15956</v>
      </c>
      <c r="M88" s="23" t="s">
        <v>364</v>
      </c>
      <c r="N88" s="23" t="s">
        <v>414</v>
      </c>
    </row>
    <row r="89" spans="1:14" x14ac:dyDescent="0.35">
      <c r="A89" s="23" t="s">
        <v>73</v>
      </c>
      <c r="B89" s="24">
        <v>45770</v>
      </c>
      <c r="C89" s="23" t="s">
        <v>341</v>
      </c>
      <c r="D89" s="23" t="s">
        <v>348</v>
      </c>
      <c r="E89" s="23" t="s">
        <v>353</v>
      </c>
      <c r="F89" s="23" t="s">
        <v>360</v>
      </c>
      <c r="G89" s="23" t="s">
        <v>363</v>
      </c>
      <c r="H89" s="23">
        <v>0</v>
      </c>
      <c r="I89" s="25">
        <v>66</v>
      </c>
      <c r="J89" s="25">
        <v>879</v>
      </c>
      <c r="K89" s="25">
        <v>588588</v>
      </c>
      <c r="L89" s="25">
        <v>264894</v>
      </c>
      <c r="M89" s="23" t="s">
        <v>365</v>
      </c>
      <c r="N89" s="23" t="s">
        <v>417</v>
      </c>
    </row>
    <row r="90" spans="1:14" x14ac:dyDescent="0.35">
      <c r="A90" s="23" t="s">
        <v>74</v>
      </c>
      <c r="B90" s="24">
        <v>45529</v>
      </c>
      <c r="C90" s="23" t="s">
        <v>338</v>
      </c>
      <c r="D90" s="23" t="s">
        <v>346</v>
      </c>
      <c r="E90" s="23" t="s">
        <v>354</v>
      </c>
      <c r="F90" s="23" t="s">
        <v>360</v>
      </c>
      <c r="G90" s="23" t="s">
        <v>363</v>
      </c>
      <c r="H90" s="23">
        <v>98</v>
      </c>
      <c r="I90" s="25">
        <v>0</v>
      </c>
      <c r="J90" s="25">
        <v>263</v>
      </c>
      <c r="K90" s="25">
        <v>3149</v>
      </c>
      <c r="L90" s="25">
        <v>288316</v>
      </c>
      <c r="M90" s="23" t="s">
        <v>371</v>
      </c>
      <c r="N90" s="23" t="s">
        <v>415</v>
      </c>
    </row>
    <row r="91" spans="1:14" x14ac:dyDescent="0.35">
      <c r="A91" s="23" t="s">
        <v>431</v>
      </c>
      <c r="B91" s="24">
        <v>45572</v>
      </c>
      <c r="C91" s="23" t="s">
        <v>338</v>
      </c>
      <c r="D91" s="23" t="s">
        <v>348</v>
      </c>
      <c r="E91" s="23" t="s">
        <v>352</v>
      </c>
      <c r="F91" s="23" t="s">
        <v>355</v>
      </c>
      <c r="G91" s="23" t="s">
        <v>363</v>
      </c>
      <c r="H91" s="23">
        <v>279</v>
      </c>
      <c r="I91" s="25">
        <v>9137</v>
      </c>
      <c r="J91" s="25">
        <v>4624</v>
      </c>
      <c r="K91" s="25">
        <v>2549223</v>
      </c>
      <c r="L91" s="25">
        <v>1259127</v>
      </c>
      <c r="M91" s="23" t="s">
        <v>369</v>
      </c>
      <c r="N91" s="23" t="s">
        <v>416</v>
      </c>
    </row>
    <row r="92" spans="1:14" x14ac:dyDescent="0.35">
      <c r="A92" s="23" t="s">
        <v>75</v>
      </c>
      <c r="B92" s="24">
        <v>45677</v>
      </c>
      <c r="C92" s="23" t="s">
        <v>340</v>
      </c>
      <c r="D92" s="23" t="s">
        <v>346</v>
      </c>
      <c r="E92" s="23" t="s">
        <v>354</v>
      </c>
      <c r="F92" s="23" t="s">
        <v>355</v>
      </c>
      <c r="G92" s="23" t="s">
        <v>362</v>
      </c>
      <c r="H92" s="23">
        <v>46</v>
      </c>
      <c r="I92" s="25">
        <v>973</v>
      </c>
      <c r="J92" s="25">
        <v>5359</v>
      </c>
      <c r="K92" s="25">
        <v>417358</v>
      </c>
      <c r="L92" s="25">
        <v>17844</v>
      </c>
      <c r="M92" s="23" t="s">
        <v>366</v>
      </c>
      <c r="N92" s="23" t="s">
        <v>412</v>
      </c>
    </row>
    <row r="93" spans="1:14" x14ac:dyDescent="0.35">
      <c r="A93" s="23" t="s">
        <v>421</v>
      </c>
      <c r="B93" s="24">
        <v>45302</v>
      </c>
      <c r="C93" s="23" t="s">
        <v>345</v>
      </c>
      <c r="D93" s="23" t="s">
        <v>348</v>
      </c>
      <c r="E93" s="23" t="s">
        <v>354</v>
      </c>
      <c r="F93" s="23" t="s">
        <v>360</v>
      </c>
      <c r="G93" s="23" t="s">
        <v>362</v>
      </c>
      <c r="H93" s="23">
        <v>99</v>
      </c>
      <c r="I93" s="25">
        <v>1486</v>
      </c>
      <c r="J93" s="25">
        <v>5631</v>
      </c>
      <c r="K93" s="25">
        <v>1465794</v>
      </c>
      <c r="L93" s="25">
        <v>2346928</v>
      </c>
      <c r="M93" s="23" t="s">
        <v>366</v>
      </c>
      <c r="N93" s="23" t="s">
        <v>414</v>
      </c>
    </row>
    <row r="94" spans="1:14" x14ac:dyDescent="0.35">
      <c r="A94" s="23" t="s">
        <v>76</v>
      </c>
      <c r="B94" s="24">
        <v>45640</v>
      </c>
      <c r="C94" s="23" t="s">
        <v>344</v>
      </c>
      <c r="D94" s="23" t="s">
        <v>348</v>
      </c>
      <c r="E94" s="23" t="s">
        <v>352</v>
      </c>
      <c r="F94" s="23" t="s">
        <v>356</v>
      </c>
      <c r="G94" s="23" t="s">
        <v>362</v>
      </c>
      <c r="H94" s="23">
        <v>157</v>
      </c>
      <c r="I94" s="25">
        <v>9797</v>
      </c>
      <c r="J94" s="25">
        <v>589</v>
      </c>
      <c r="K94" s="25">
        <v>1538129</v>
      </c>
      <c r="L94" s="25">
        <v>739156</v>
      </c>
      <c r="M94" s="23" t="s">
        <v>375</v>
      </c>
      <c r="N94" s="23" t="s">
        <v>416</v>
      </c>
    </row>
    <row r="95" spans="1:14" x14ac:dyDescent="0.35">
      <c r="A95" s="23" t="s">
        <v>77</v>
      </c>
      <c r="B95" s="24">
        <v>45426</v>
      </c>
      <c r="C95" s="23" t="s">
        <v>338</v>
      </c>
      <c r="D95" s="23" t="s">
        <v>350</v>
      </c>
      <c r="E95" s="23" t="s">
        <v>352</v>
      </c>
      <c r="F95" s="23" t="s">
        <v>360</v>
      </c>
      <c r="G95" s="23" t="s">
        <v>363</v>
      </c>
      <c r="H95" s="23">
        <v>283</v>
      </c>
      <c r="I95" s="25">
        <v>954</v>
      </c>
      <c r="J95" s="25">
        <v>7428</v>
      </c>
      <c r="K95" s="25">
        <v>2562282</v>
      </c>
      <c r="L95" s="25">
        <v>46158</v>
      </c>
      <c r="M95" s="23" t="s">
        <v>368</v>
      </c>
      <c r="N95" s="23" t="s">
        <v>413</v>
      </c>
    </row>
    <row r="96" spans="1:14" x14ac:dyDescent="0.35">
      <c r="A96" s="23" t="s">
        <v>442</v>
      </c>
      <c r="B96" s="24">
        <v>45309</v>
      </c>
      <c r="C96" s="23" t="s">
        <v>343</v>
      </c>
      <c r="D96" s="23" t="s">
        <v>346</v>
      </c>
      <c r="E96" s="23" t="s">
        <v>354</v>
      </c>
      <c r="F96" s="23" t="s">
        <v>357</v>
      </c>
      <c r="G96" s="23" t="s">
        <v>362</v>
      </c>
      <c r="H96" s="23">
        <v>276</v>
      </c>
      <c r="I96" s="25">
        <v>5956</v>
      </c>
      <c r="J96" s="25">
        <v>8764</v>
      </c>
      <c r="K96" s="25">
        <v>1643856</v>
      </c>
      <c r="L96" s="25">
        <v>7758</v>
      </c>
      <c r="M96" s="23" t="s">
        <v>366</v>
      </c>
      <c r="N96" s="23" t="s">
        <v>414</v>
      </c>
    </row>
    <row r="97" spans="1:14" x14ac:dyDescent="0.35">
      <c r="A97" s="23" t="s">
        <v>78</v>
      </c>
      <c r="B97" s="24">
        <v>45560</v>
      </c>
      <c r="C97" s="23" t="s">
        <v>343</v>
      </c>
      <c r="D97" s="23" t="s">
        <v>348</v>
      </c>
      <c r="E97" s="23" t="s">
        <v>354</v>
      </c>
      <c r="F97" s="23" t="s">
        <v>357</v>
      </c>
      <c r="G97" s="23" t="s">
        <v>362</v>
      </c>
      <c r="H97" s="23">
        <v>34</v>
      </c>
      <c r="I97" s="25">
        <v>7477</v>
      </c>
      <c r="J97" s="25">
        <v>1475</v>
      </c>
      <c r="K97" s="25">
        <v>254218</v>
      </c>
      <c r="L97" s="25">
        <v>2468</v>
      </c>
      <c r="M97" s="23" t="s">
        <v>367</v>
      </c>
      <c r="N97" s="23" t="s">
        <v>415</v>
      </c>
    </row>
    <row r="98" spans="1:14" x14ac:dyDescent="0.35">
      <c r="A98" s="23" t="s">
        <v>79</v>
      </c>
      <c r="B98" s="24">
        <v>45511</v>
      </c>
      <c r="C98" s="23" t="s">
        <v>339</v>
      </c>
      <c r="D98" s="23" t="s">
        <v>346</v>
      </c>
      <c r="E98" s="23" t="s">
        <v>353</v>
      </c>
      <c r="F98" s="23" t="s">
        <v>355</v>
      </c>
      <c r="G98" s="23" t="s">
        <v>362</v>
      </c>
      <c r="H98" s="23">
        <v>159</v>
      </c>
      <c r="I98" s="25">
        <v>176</v>
      </c>
      <c r="J98" s="25">
        <v>7142</v>
      </c>
      <c r="K98" s="25">
        <v>27984</v>
      </c>
      <c r="L98" s="25">
        <v>855738</v>
      </c>
      <c r="M98" s="23" t="s">
        <v>371</v>
      </c>
      <c r="N98" s="23" t="s">
        <v>415</v>
      </c>
    </row>
    <row r="99" spans="1:14" x14ac:dyDescent="0.35">
      <c r="A99" s="23" t="s">
        <v>80</v>
      </c>
      <c r="B99" s="24">
        <v>45720</v>
      </c>
      <c r="C99" s="23" t="s">
        <v>341</v>
      </c>
      <c r="D99" s="23" t="s">
        <v>381</v>
      </c>
      <c r="E99" s="23" t="s">
        <v>354</v>
      </c>
      <c r="F99" s="23" t="s">
        <v>359</v>
      </c>
      <c r="G99" s="23" t="s">
        <v>362</v>
      </c>
      <c r="H99" s="23">
        <v>241</v>
      </c>
      <c r="I99" s="25">
        <v>1453</v>
      </c>
      <c r="J99" s="25">
        <v>45813</v>
      </c>
      <c r="K99" s="25">
        <v>35173</v>
      </c>
      <c r="L99" s="25">
        <v>2860581</v>
      </c>
      <c r="M99" s="23" t="s">
        <v>364</v>
      </c>
      <c r="N99" s="23" t="s">
        <v>412</v>
      </c>
    </row>
    <row r="100" spans="1:14" x14ac:dyDescent="0.35">
      <c r="A100" s="23" t="s">
        <v>443</v>
      </c>
      <c r="B100" s="24">
        <v>45327</v>
      </c>
      <c r="C100" s="23" t="s">
        <v>344</v>
      </c>
      <c r="D100" s="23" t="s">
        <v>346</v>
      </c>
      <c r="E100" s="23" t="s">
        <v>351</v>
      </c>
      <c r="F100" s="23" t="s">
        <v>357</v>
      </c>
      <c r="G100" s="23" t="s">
        <v>362</v>
      </c>
      <c r="H100" s="23">
        <v>166</v>
      </c>
      <c r="I100" s="25">
        <v>4643</v>
      </c>
      <c r="J100" s="25">
        <v>7247</v>
      </c>
      <c r="K100" s="25">
        <v>77738</v>
      </c>
      <c r="L100" s="25">
        <v>432264</v>
      </c>
      <c r="M100" s="23" t="s">
        <v>374</v>
      </c>
      <c r="N100" s="23" t="s">
        <v>414</v>
      </c>
    </row>
    <row r="101" spans="1:14" x14ac:dyDescent="0.35">
      <c r="A101" s="23" t="s">
        <v>81</v>
      </c>
      <c r="B101" s="24">
        <v>45739</v>
      </c>
      <c r="C101" s="23" t="s">
        <v>344</v>
      </c>
      <c r="D101" s="23" t="s">
        <v>346</v>
      </c>
      <c r="E101" s="23" t="s">
        <v>354</v>
      </c>
      <c r="F101" s="23" t="s">
        <v>381</v>
      </c>
      <c r="G101" s="23" t="s">
        <v>362</v>
      </c>
      <c r="H101" s="23">
        <v>98</v>
      </c>
      <c r="I101" s="25">
        <v>893</v>
      </c>
      <c r="J101" s="25">
        <v>372</v>
      </c>
      <c r="K101" s="25">
        <v>87514</v>
      </c>
      <c r="L101" s="25">
        <v>27746</v>
      </c>
      <c r="M101" s="23" t="s">
        <v>364</v>
      </c>
      <c r="N101" s="23" t="s">
        <v>412</v>
      </c>
    </row>
    <row r="102" spans="1:14" x14ac:dyDescent="0.35">
      <c r="A102" s="23" t="s">
        <v>442</v>
      </c>
      <c r="B102" s="24">
        <v>45462</v>
      </c>
      <c r="C102" s="23" t="s">
        <v>340</v>
      </c>
      <c r="D102" s="23" t="s">
        <v>348</v>
      </c>
      <c r="E102" s="23" t="s">
        <v>353</v>
      </c>
      <c r="F102" s="23" t="s">
        <v>360</v>
      </c>
      <c r="G102" s="23" t="s">
        <v>363</v>
      </c>
      <c r="H102" s="23">
        <v>0</v>
      </c>
      <c r="I102" s="25">
        <v>454</v>
      </c>
      <c r="J102" s="25">
        <v>9697</v>
      </c>
      <c r="K102" s="25">
        <v>58566</v>
      </c>
      <c r="L102" s="25">
        <v>665253</v>
      </c>
      <c r="M102" s="23" t="s">
        <v>370</v>
      </c>
      <c r="N102" s="23" t="s">
        <v>413</v>
      </c>
    </row>
    <row r="103" spans="1:14" x14ac:dyDescent="0.35">
      <c r="A103" s="23" t="s">
        <v>82</v>
      </c>
      <c r="B103" s="24">
        <v>45765</v>
      </c>
      <c r="C103" s="23" t="s">
        <v>345</v>
      </c>
      <c r="D103" s="23" t="s">
        <v>348</v>
      </c>
      <c r="E103" s="23" t="s">
        <v>352</v>
      </c>
      <c r="F103" s="23" t="s">
        <v>356</v>
      </c>
      <c r="G103" s="23" t="s">
        <v>363</v>
      </c>
      <c r="H103" s="23">
        <v>0</v>
      </c>
      <c r="I103" s="25">
        <v>6611</v>
      </c>
      <c r="J103" s="25">
        <v>675</v>
      </c>
      <c r="K103" s="25">
        <v>1355255</v>
      </c>
      <c r="L103" s="25">
        <v>19271</v>
      </c>
      <c r="M103" s="23" t="s">
        <v>365</v>
      </c>
      <c r="N103" s="23" t="s">
        <v>417</v>
      </c>
    </row>
    <row r="104" spans="1:14" x14ac:dyDescent="0.35">
      <c r="A104" s="23" t="s">
        <v>83</v>
      </c>
      <c r="B104" s="24">
        <v>45437</v>
      </c>
      <c r="C104" s="23" t="s">
        <v>343</v>
      </c>
      <c r="D104" s="23" t="s">
        <v>348</v>
      </c>
      <c r="E104" s="23" t="s">
        <v>351</v>
      </c>
      <c r="F104" s="23" t="s">
        <v>357</v>
      </c>
      <c r="G104" s="23" t="s">
        <v>363</v>
      </c>
      <c r="H104" s="23">
        <v>115</v>
      </c>
      <c r="I104" s="25">
        <v>2633</v>
      </c>
      <c r="J104" s="25">
        <v>3966</v>
      </c>
      <c r="K104" s="25">
        <v>326953</v>
      </c>
      <c r="L104" s="25">
        <v>153295</v>
      </c>
      <c r="M104" s="23" t="s">
        <v>368</v>
      </c>
      <c r="N104" s="23" t="s">
        <v>413</v>
      </c>
    </row>
    <row r="105" spans="1:14" x14ac:dyDescent="0.35">
      <c r="A105" s="23" t="s">
        <v>84</v>
      </c>
      <c r="B105" s="24">
        <v>45541</v>
      </c>
      <c r="C105" s="23" t="s">
        <v>339</v>
      </c>
      <c r="D105" s="23" t="s">
        <v>348</v>
      </c>
      <c r="E105" s="23" t="s">
        <v>353</v>
      </c>
      <c r="F105" s="23" t="s">
        <v>355</v>
      </c>
      <c r="G105" s="23" t="s">
        <v>363</v>
      </c>
      <c r="H105" s="23">
        <v>127</v>
      </c>
      <c r="I105" s="25">
        <v>12348</v>
      </c>
      <c r="J105" s="25">
        <v>9637</v>
      </c>
      <c r="K105" s="25">
        <v>1568196</v>
      </c>
      <c r="L105" s="25">
        <v>344297</v>
      </c>
      <c r="M105" s="23" t="s">
        <v>367</v>
      </c>
      <c r="N105" s="23" t="s">
        <v>415</v>
      </c>
    </row>
    <row r="106" spans="1:14" x14ac:dyDescent="0.35">
      <c r="A106" s="23" t="s">
        <v>85</v>
      </c>
      <c r="B106" s="24">
        <v>45517</v>
      </c>
      <c r="C106" s="23" t="s">
        <v>341</v>
      </c>
      <c r="D106" s="23" t="s">
        <v>346</v>
      </c>
      <c r="E106" s="23" t="s">
        <v>353</v>
      </c>
      <c r="F106" s="23" t="s">
        <v>356</v>
      </c>
      <c r="G106" s="23" t="s">
        <v>362</v>
      </c>
      <c r="H106" s="23">
        <v>13</v>
      </c>
      <c r="I106" s="25">
        <v>4615</v>
      </c>
      <c r="J106" s="25">
        <v>1754</v>
      </c>
      <c r="K106" s="25">
        <v>59995</v>
      </c>
      <c r="L106" s="25">
        <v>37193</v>
      </c>
      <c r="M106" s="23" t="s">
        <v>371</v>
      </c>
      <c r="N106" s="23" t="s">
        <v>415</v>
      </c>
    </row>
    <row r="107" spans="1:14" x14ac:dyDescent="0.35">
      <c r="A107" s="23" t="s">
        <v>86</v>
      </c>
      <c r="B107" s="24">
        <v>45635</v>
      </c>
      <c r="C107" s="23" t="s">
        <v>338</v>
      </c>
      <c r="D107" s="23" t="s">
        <v>348</v>
      </c>
      <c r="E107" s="23" t="s">
        <v>354</v>
      </c>
      <c r="F107" s="23" t="s">
        <v>359</v>
      </c>
      <c r="G107" s="23" t="s">
        <v>362</v>
      </c>
      <c r="H107" s="23">
        <v>46</v>
      </c>
      <c r="I107" s="25">
        <v>1261</v>
      </c>
      <c r="J107" s="25">
        <v>499</v>
      </c>
      <c r="K107" s="25">
        <v>55486</v>
      </c>
      <c r="L107" s="25">
        <v>328992</v>
      </c>
      <c r="M107" s="23" t="s">
        <v>375</v>
      </c>
      <c r="N107" s="23" t="s">
        <v>416</v>
      </c>
    </row>
    <row r="108" spans="1:14" x14ac:dyDescent="0.35">
      <c r="A108" s="23" t="s">
        <v>87</v>
      </c>
      <c r="B108" s="24">
        <v>45781</v>
      </c>
      <c r="C108" s="23" t="s">
        <v>340</v>
      </c>
      <c r="D108" s="23" t="s">
        <v>348</v>
      </c>
      <c r="E108" s="23" t="s">
        <v>354</v>
      </c>
      <c r="F108" s="23" t="s">
        <v>356</v>
      </c>
      <c r="G108" s="23" t="s">
        <v>363</v>
      </c>
      <c r="H108" s="23">
        <v>222</v>
      </c>
      <c r="I108" s="25">
        <v>1393</v>
      </c>
      <c r="J108" s="25">
        <v>3298</v>
      </c>
      <c r="K108" s="25">
        <v>296646</v>
      </c>
      <c r="L108" s="25">
        <v>217449</v>
      </c>
      <c r="M108" s="23" t="s">
        <v>368</v>
      </c>
      <c r="N108" s="23" t="s">
        <v>417</v>
      </c>
    </row>
    <row r="109" spans="1:14" x14ac:dyDescent="0.35">
      <c r="A109" s="23" t="s">
        <v>444</v>
      </c>
      <c r="B109" s="24">
        <v>45347</v>
      </c>
      <c r="C109" s="23" t="s">
        <v>343</v>
      </c>
      <c r="D109" s="23" t="s">
        <v>350</v>
      </c>
      <c r="E109" s="23" t="s">
        <v>353</v>
      </c>
      <c r="F109" s="23" t="s">
        <v>360</v>
      </c>
      <c r="G109" s="23" t="s">
        <v>362</v>
      </c>
      <c r="H109" s="23">
        <v>161</v>
      </c>
      <c r="I109" s="25">
        <v>1159</v>
      </c>
      <c r="J109" s="25">
        <v>6946</v>
      </c>
      <c r="K109" s="25">
        <v>186599</v>
      </c>
      <c r="L109" s="25">
        <v>93177</v>
      </c>
      <c r="M109" s="23" t="s">
        <v>374</v>
      </c>
      <c r="N109" s="23" t="s">
        <v>414</v>
      </c>
    </row>
    <row r="110" spans="1:14" x14ac:dyDescent="0.35">
      <c r="A110" s="23" t="s">
        <v>88</v>
      </c>
      <c r="B110" s="24">
        <v>45680</v>
      </c>
      <c r="C110" s="23" t="s">
        <v>342</v>
      </c>
      <c r="D110" s="23" t="s">
        <v>348</v>
      </c>
      <c r="E110" s="23" t="s">
        <v>354</v>
      </c>
      <c r="F110" s="23" t="s">
        <v>359</v>
      </c>
      <c r="G110" s="23" t="s">
        <v>363</v>
      </c>
      <c r="H110" s="23">
        <v>161</v>
      </c>
      <c r="I110" s="25">
        <v>536</v>
      </c>
      <c r="J110" s="25">
        <v>791</v>
      </c>
      <c r="K110" s="25">
        <v>1888</v>
      </c>
      <c r="L110" s="25">
        <v>92757</v>
      </c>
      <c r="M110" s="23" t="s">
        <v>366</v>
      </c>
      <c r="N110" s="23" t="s">
        <v>412</v>
      </c>
    </row>
    <row r="111" spans="1:14" x14ac:dyDescent="0.35">
      <c r="A111" s="23" t="s">
        <v>445</v>
      </c>
      <c r="B111" s="24">
        <v>45328</v>
      </c>
      <c r="C111" s="23" t="s">
        <v>343</v>
      </c>
      <c r="D111" s="23" t="s">
        <v>348</v>
      </c>
      <c r="E111" s="23" t="s">
        <v>353</v>
      </c>
      <c r="F111" s="23" t="s">
        <v>355</v>
      </c>
      <c r="G111" s="23" t="s">
        <v>363</v>
      </c>
      <c r="H111" s="23">
        <v>273</v>
      </c>
      <c r="I111" s="25">
        <v>1395</v>
      </c>
      <c r="J111" s="25">
        <v>3112</v>
      </c>
      <c r="K111" s="25">
        <v>3574935</v>
      </c>
      <c r="L111" s="25">
        <v>2725359</v>
      </c>
      <c r="M111" s="23" t="s">
        <v>374</v>
      </c>
      <c r="N111" s="23" t="s">
        <v>414</v>
      </c>
    </row>
    <row r="112" spans="1:14" x14ac:dyDescent="0.35">
      <c r="A112" s="23" t="s">
        <v>89</v>
      </c>
      <c r="B112" s="24">
        <v>45471</v>
      </c>
      <c r="C112" s="23" t="s">
        <v>343</v>
      </c>
      <c r="D112" s="23" t="s">
        <v>348</v>
      </c>
      <c r="E112" s="23" t="s">
        <v>354</v>
      </c>
      <c r="F112" s="23" t="s">
        <v>361</v>
      </c>
      <c r="G112" s="23" t="s">
        <v>363</v>
      </c>
      <c r="H112" s="23">
        <v>217</v>
      </c>
      <c r="I112" s="25">
        <v>17</v>
      </c>
      <c r="J112" s="25">
        <v>8195</v>
      </c>
      <c r="K112" s="25">
        <v>23219</v>
      </c>
      <c r="L112" s="25">
        <v>1546125</v>
      </c>
      <c r="M112" s="23" t="s">
        <v>370</v>
      </c>
      <c r="N112" s="23" t="s">
        <v>413</v>
      </c>
    </row>
    <row r="113" spans="1:14" x14ac:dyDescent="0.35">
      <c r="A113" s="23" t="s">
        <v>445</v>
      </c>
      <c r="B113" s="24">
        <v>45598</v>
      </c>
      <c r="C113" s="23" t="s">
        <v>341</v>
      </c>
      <c r="D113" s="23" t="s">
        <v>350</v>
      </c>
      <c r="E113" s="23" t="s">
        <v>351</v>
      </c>
      <c r="F113" s="23" t="s">
        <v>359</v>
      </c>
      <c r="G113" s="23" t="s">
        <v>363</v>
      </c>
      <c r="H113" s="23">
        <v>245</v>
      </c>
      <c r="I113" s="25">
        <v>12341</v>
      </c>
      <c r="J113" s="25">
        <v>4837</v>
      </c>
      <c r="K113" s="25">
        <v>323545</v>
      </c>
      <c r="L113" s="25">
        <v>183848</v>
      </c>
      <c r="M113" s="23" t="s">
        <v>373</v>
      </c>
      <c r="N113" s="23" t="s">
        <v>416</v>
      </c>
    </row>
    <row r="114" spans="1:14" x14ac:dyDescent="0.35">
      <c r="A114" s="23" t="s">
        <v>446</v>
      </c>
      <c r="B114" s="24">
        <v>45496</v>
      </c>
      <c r="C114" s="23" t="s">
        <v>343</v>
      </c>
      <c r="D114" s="23" t="s">
        <v>350</v>
      </c>
      <c r="E114" s="23" t="s">
        <v>351</v>
      </c>
      <c r="F114" s="23" t="s">
        <v>361</v>
      </c>
      <c r="G114" s="23" t="s">
        <v>362</v>
      </c>
      <c r="H114" s="23">
        <v>38</v>
      </c>
      <c r="I114" s="25">
        <v>6987</v>
      </c>
      <c r="J114" s="25">
        <v>946</v>
      </c>
      <c r="K114" s="25">
        <v>26556</v>
      </c>
      <c r="L114" s="25">
        <v>229558</v>
      </c>
      <c r="M114" s="23" t="s">
        <v>372</v>
      </c>
      <c r="N114" s="23" t="s">
        <v>415</v>
      </c>
    </row>
    <row r="115" spans="1:14" x14ac:dyDescent="0.35">
      <c r="A115" s="23" t="s">
        <v>447</v>
      </c>
      <c r="B115" s="24">
        <v>45351</v>
      </c>
      <c r="C115" s="23" t="s">
        <v>344</v>
      </c>
      <c r="D115" s="23" t="s">
        <v>346</v>
      </c>
      <c r="E115" s="23" t="s">
        <v>354</v>
      </c>
      <c r="F115" s="23" t="s">
        <v>358</v>
      </c>
      <c r="G115" s="23" t="s">
        <v>362</v>
      </c>
      <c r="H115" s="23">
        <v>214</v>
      </c>
      <c r="I115" s="25">
        <v>717</v>
      </c>
      <c r="J115" s="25">
        <v>834</v>
      </c>
      <c r="K115" s="25">
        <v>152898</v>
      </c>
      <c r="L115" s="25">
        <v>198378</v>
      </c>
      <c r="M115" s="23" t="s">
        <v>374</v>
      </c>
      <c r="N115" s="23" t="s">
        <v>414</v>
      </c>
    </row>
    <row r="116" spans="1:14" x14ac:dyDescent="0.35">
      <c r="A116" s="23" t="s">
        <v>90</v>
      </c>
      <c r="B116" s="24">
        <v>45528</v>
      </c>
      <c r="C116" s="23" t="s">
        <v>341</v>
      </c>
      <c r="D116" s="23" t="s">
        <v>348</v>
      </c>
      <c r="E116" s="23" t="s">
        <v>352</v>
      </c>
      <c r="F116" s="23" t="s">
        <v>360</v>
      </c>
      <c r="G116" s="23" t="s">
        <v>363</v>
      </c>
      <c r="H116" s="23">
        <v>111</v>
      </c>
      <c r="I116" s="25">
        <v>283</v>
      </c>
      <c r="J116" s="25">
        <v>5173</v>
      </c>
      <c r="K116" s="25">
        <v>31413</v>
      </c>
      <c r="L116" s="25">
        <v>2673</v>
      </c>
      <c r="M116" s="23" t="s">
        <v>371</v>
      </c>
      <c r="N116" s="23" t="s">
        <v>415</v>
      </c>
    </row>
    <row r="117" spans="1:14" x14ac:dyDescent="0.35">
      <c r="A117" s="23" t="s">
        <v>91</v>
      </c>
      <c r="B117" s="24">
        <v>45450</v>
      </c>
      <c r="C117" s="23" t="s">
        <v>343</v>
      </c>
      <c r="D117" s="23" t="s">
        <v>346</v>
      </c>
      <c r="E117" s="23" t="s">
        <v>353</v>
      </c>
      <c r="F117" s="23" t="s">
        <v>361</v>
      </c>
      <c r="G117" s="23" t="s">
        <v>362</v>
      </c>
      <c r="H117" s="23">
        <v>179</v>
      </c>
      <c r="I117" s="25">
        <v>273</v>
      </c>
      <c r="J117" s="25">
        <v>247</v>
      </c>
      <c r="K117" s="25">
        <v>483837</v>
      </c>
      <c r="L117" s="25">
        <v>4177</v>
      </c>
      <c r="M117" s="23" t="s">
        <v>370</v>
      </c>
      <c r="N117" s="23" t="s">
        <v>413</v>
      </c>
    </row>
    <row r="118" spans="1:14" x14ac:dyDescent="0.35">
      <c r="A118" s="23" t="s">
        <v>92</v>
      </c>
      <c r="B118" s="24">
        <v>45619</v>
      </c>
      <c r="C118" s="23" t="s">
        <v>344</v>
      </c>
      <c r="D118" s="23" t="s">
        <v>381</v>
      </c>
      <c r="E118" s="23" t="s">
        <v>351</v>
      </c>
      <c r="F118" s="23" t="s">
        <v>361</v>
      </c>
      <c r="G118" s="23" t="s">
        <v>362</v>
      </c>
      <c r="H118" s="23">
        <v>124</v>
      </c>
      <c r="I118" s="25">
        <v>13461</v>
      </c>
      <c r="J118" s="25">
        <v>829</v>
      </c>
      <c r="K118" s="25">
        <v>1669164</v>
      </c>
      <c r="L118" s="25">
        <v>1566368</v>
      </c>
      <c r="M118" s="23" t="s">
        <v>373</v>
      </c>
      <c r="N118" s="23" t="s">
        <v>416</v>
      </c>
    </row>
    <row r="119" spans="1:14" x14ac:dyDescent="0.35">
      <c r="A119" s="23" t="s">
        <v>428</v>
      </c>
      <c r="B119" s="24">
        <v>45398</v>
      </c>
      <c r="C119" s="23" t="s">
        <v>339</v>
      </c>
      <c r="D119" s="23" t="s">
        <v>350</v>
      </c>
      <c r="E119" s="23" t="s">
        <v>352</v>
      </c>
      <c r="F119" s="23" t="s">
        <v>357</v>
      </c>
      <c r="G119" s="23" t="s">
        <v>362</v>
      </c>
      <c r="H119" s="23">
        <v>282</v>
      </c>
      <c r="I119" s="25">
        <v>487</v>
      </c>
      <c r="J119" s="25">
        <v>733</v>
      </c>
      <c r="K119" s="25">
        <v>1152534</v>
      </c>
      <c r="L119" s="25">
        <v>1830841</v>
      </c>
      <c r="M119" s="23" t="s">
        <v>365</v>
      </c>
      <c r="N119" s="23" t="s">
        <v>413</v>
      </c>
    </row>
    <row r="120" spans="1:14" x14ac:dyDescent="0.35">
      <c r="A120" s="23" t="s">
        <v>93</v>
      </c>
      <c r="B120" s="24">
        <v>45520</v>
      </c>
      <c r="C120" s="23" t="s">
        <v>344</v>
      </c>
      <c r="D120" s="23" t="s">
        <v>350</v>
      </c>
      <c r="E120" s="23" t="s">
        <v>354</v>
      </c>
      <c r="F120" s="23" t="s">
        <v>361</v>
      </c>
      <c r="G120" s="23" t="s">
        <v>362</v>
      </c>
      <c r="H120" s="23">
        <v>119</v>
      </c>
      <c r="I120" s="25">
        <v>8776</v>
      </c>
      <c r="J120" s="25">
        <v>487</v>
      </c>
      <c r="K120" s="25">
        <v>144344</v>
      </c>
      <c r="L120" s="25">
        <v>986391</v>
      </c>
      <c r="M120" s="23" t="s">
        <v>371</v>
      </c>
      <c r="N120" s="23" t="s">
        <v>415</v>
      </c>
    </row>
    <row r="121" spans="1:14" x14ac:dyDescent="0.35">
      <c r="A121" s="23" t="s">
        <v>94</v>
      </c>
      <c r="B121" s="24">
        <v>45629</v>
      </c>
      <c r="C121" s="23" t="s">
        <v>341</v>
      </c>
      <c r="D121" s="23" t="s">
        <v>350</v>
      </c>
      <c r="E121" s="23" t="s">
        <v>351</v>
      </c>
      <c r="F121" s="23" t="s">
        <v>355</v>
      </c>
      <c r="G121" s="23" t="s">
        <v>363</v>
      </c>
      <c r="H121" s="23">
        <v>59</v>
      </c>
      <c r="I121" s="25">
        <v>546</v>
      </c>
      <c r="J121" s="25">
        <v>68</v>
      </c>
      <c r="K121" s="25">
        <v>32214</v>
      </c>
      <c r="L121" s="25">
        <v>3658</v>
      </c>
      <c r="M121" s="23" t="s">
        <v>375</v>
      </c>
      <c r="N121" s="23" t="s">
        <v>416</v>
      </c>
    </row>
    <row r="122" spans="1:14" x14ac:dyDescent="0.35">
      <c r="A122" s="23" t="s">
        <v>425</v>
      </c>
      <c r="B122" s="24">
        <v>45742</v>
      </c>
      <c r="C122" s="23" t="s">
        <v>339</v>
      </c>
      <c r="D122" s="23" t="s">
        <v>346</v>
      </c>
      <c r="E122" s="23" t="s">
        <v>352</v>
      </c>
      <c r="F122" s="23" t="s">
        <v>361</v>
      </c>
      <c r="G122" s="23" t="s">
        <v>363</v>
      </c>
      <c r="H122" s="23">
        <v>151</v>
      </c>
      <c r="I122" s="25">
        <v>1242</v>
      </c>
      <c r="J122" s="25">
        <v>433</v>
      </c>
      <c r="K122" s="25">
        <v>1546542</v>
      </c>
      <c r="L122" s="25">
        <v>937559</v>
      </c>
      <c r="M122" s="23" t="s">
        <v>364</v>
      </c>
      <c r="N122" s="23" t="s">
        <v>412</v>
      </c>
    </row>
    <row r="123" spans="1:14" x14ac:dyDescent="0.35">
      <c r="A123" s="23" t="s">
        <v>95</v>
      </c>
      <c r="B123" s="24">
        <v>45723</v>
      </c>
      <c r="C123" s="23" t="s">
        <v>338</v>
      </c>
      <c r="D123" s="23" t="s">
        <v>350</v>
      </c>
      <c r="E123" s="23" t="s">
        <v>354</v>
      </c>
      <c r="F123" s="23" t="s">
        <v>361</v>
      </c>
      <c r="G123" s="23" t="s">
        <v>362</v>
      </c>
      <c r="H123" s="23">
        <v>89</v>
      </c>
      <c r="I123" s="25">
        <v>814</v>
      </c>
      <c r="J123" s="25">
        <v>635</v>
      </c>
      <c r="K123" s="25">
        <v>721256</v>
      </c>
      <c r="L123" s="25">
        <v>16111</v>
      </c>
      <c r="M123" s="23" t="s">
        <v>364</v>
      </c>
      <c r="N123" s="23" t="s">
        <v>412</v>
      </c>
    </row>
    <row r="124" spans="1:14" x14ac:dyDescent="0.35">
      <c r="A124" s="23" t="s">
        <v>96</v>
      </c>
      <c r="B124" s="24">
        <v>45577</v>
      </c>
      <c r="C124" s="23" t="s">
        <v>342</v>
      </c>
      <c r="D124" s="23" t="s">
        <v>346</v>
      </c>
      <c r="E124" s="23" t="s">
        <v>352</v>
      </c>
      <c r="F124" s="23" t="s">
        <v>358</v>
      </c>
      <c r="G124" s="23" t="s">
        <v>362</v>
      </c>
      <c r="H124" s="23">
        <v>115</v>
      </c>
      <c r="I124" s="25">
        <v>12544</v>
      </c>
      <c r="J124" s="25">
        <v>45664</v>
      </c>
      <c r="K124" s="25">
        <v>144256</v>
      </c>
      <c r="L124" s="25">
        <v>1326755</v>
      </c>
      <c r="M124" s="23" t="s">
        <v>369</v>
      </c>
      <c r="N124" s="23" t="s">
        <v>416</v>
      </c>
    </row>
    <row r="125" spans="1:14" x14ac:dyDescent="0.35">
      <c r="A125" s="23" t="s">
        <v>448</v>
      </c>
      <c r="B125" s="24">
        <v>45299</v>
      </c>
      <c r="C125" s="23" t="s">
        <v>342</v>
      </c>
      <c r="D125" s="23" t="s">
        <v>348</v>
      </c>
      <c r="E125" s="23" t="s">
        <v>354</v>
      </c>
      <c r="F125" s="23" t="s">
        <v>359</v>
      </c>
      <c r="G125" s="23" t="s">
        <v>362</v>
      </c>
      <c r="H125" s="23">
        <v>121</v>
      </c>
      <c r="I125" s="25">
        <v>1741</v>
      </c>
      <c r="J125" s="25">
        <v>1354</v>
      </c>
      <c r="K125" s="25">
        <v>1299661</v>
      </c>
      <c r="L125" s="25">
        <v>1135827</v>
      </c>
      <c r="M125" s="23" t="s">
        <v>366</v>
      </c>
      <c r="N125" s="23" t="s">
        <v>414</v>
      </c>
    </row>
    <row r="126" spans="1:14" x14ac:dyDescent="0.35">
      <c r="A126" s="23" t="s">
        <v>97</v>
      </c>
      <c r="B126" s="24">
        <v>45477</v>
      </c>
      <c r="C126" s="23" t="s">
        <v>339</v>
      </c>
      <c r="D126" s="23" t="s">
        <v>350</v>
      </c>
      <c r="E126" s="23" t="s">
        <v>353</v>
      </c>
      <c r="F126" s="23" t="s">
        <v>358</v>
      </c>
      <c r="G126" s="23" t="s">
        <v>363</v>
      </c>
      <c r="H126" s="23">
        <v>122</v>
      </c>
      <c r="I126" s="25">
        <v>1386</v>
      </c>
      <c r="J126" s="25">
        <v>197</v>
      </c>
      <c r="K126" s="25">
        <v>16992</v>
      </c>
      <c r="L126" s="25">
        <v>35258</v>
      </c>
      <c r="M126" s="23" t="s">
        <v>372</v>
      </c>
      <c r="N126" s="23" t="s">
        <v>415</v>
      </c>
    </row>
    <row r="127" spans="1:14" x14ac:dyDescent="0.35">
      <c r="A127" s="23" t="s">
        <v>98</v>
      </c>
      <c r="B127" s="24">
        <v>45411</v>
      </c>
      <c r="C127" s="23" t="s">
        <v>339</v>
      </c>
      <c r="D127" s="23" t="s">
        <v>348</v>
      </c>
      <c r="E127" s="23" t="s">
        <v>352</v>
      </c>
      <c r="F127" s="23" t="s">
        <v>360</v>
      </c>
      <c r="G127" s="23" t="s">
        <v>363</v>
      </c>
      <c r="H127" s="23">
        <v>142</v>
      </c>
      <c r="I127" s="25">
        <v>842</v>
      </c>
      <c r="J127" s="25">
        <v>8772</v>
      </c>
      <c r="K127" s="25">
        <v>1141964</v>
      </c>
      <c r="L127" s="25">
        <v>1366</v>
      </c>
      <c r="M127" s="23" t="s">
        <v>365</v>
      </c>
      <c r="N127" s="23" t="s">
        <v>413</v>
      </c>
    </row>
    <row r="128" spans="1:14" x14ac:dyDescent="0.35">
      <c r="A128" s="23" t="s">
        <v>99</v>
      </c>
      <c r="B128" s="24">
        <v>45514</v>
      </c>
      <c r="C128" s="23" t="s">
        <v>340</v>
      </c>
      <c r="D128" s="23" t="s">
        <v>346</v>
      </c>
      <c r="E128" s="23" t="s">
        <v>351</v>
      </c>
      <c r="F128" s="23" t="s">
        <v>357</v>
      </c>
      <c r="G128" s="23" t="s">
        <v>363</v>
      </c>
      <c r="H128" s="23">
        <v>98</v>
      </c>
      <c r="I128" s="25">
        <v>1139</v>
      </c>
      <c r="J128" s="25">
        <v>6865</v>
      </c>
      <c r="K128" s="25">
        <v>2331284</v>
      </c>
      <c r="L128" s="25">
        <v>435512</v>
      </c>
      <c r="M128" s="23" t="s">
        <v>371</v>
      </c>
      <c r="N128" s="23" t="s">
        <v>415</v>
      </c>
    </row>
    <row r="129" spans="1:14" x14ac:dyDescent="0.35">
      <c r="A129" s="23" t="s">
        <v>100</v>
      </c>
      <c r="B129" s="24">
        <v>45685</v>
      </c>
      <c r="C129" s="23" t="s">
        <v>345</v>
      </c>
      <c r="D129" s="23" t="s">
        <v>348</v>
      </c>
      <c r="E129" s="23" t="s">
        <v>353</v>
      </c>
      <c r="F129" s="23" t="s">
        <v>361</v>
      </c>
      <c r="G129" s="23" t="s">
        <v>362</v>
      </c>
      <c r="H129" s="23">
        <v>253</v>
      </c>
      <c r="I129" s="25">
        <v>8292</v>
      </c>
      <c r="J129" s="25">
        <v>9763</v>
      </c>
      <c r="K129" s="25">
        <v>297876</v>
      </c>
      <c r="L129" s="25">
        <v>372163</v>
      </c>
      <c r="M129" s="23" t="s">
        <v>366</v>
      </c>
      <c r="N129" s="23" t="s">
        <v>412</v>
      </c>
    </row>
    <row r="130" spans="1:14" x14ac:dyDescent="0.35">
      <c r="A130" s="23" t="s">
        <v>449</v>
      </c>
      <c r="B130" s="24">
        <v>45422</v>
      </c>
      <c r="C130" s="23" t="s">
        <v>340</v>
      </c>
      <c r="D130" s="23" t="s">
        <v>348</v>
      </c>
      <c r="E130" s="23" t="s">
        <v>352</v>
      </c>
      <c r="F130" s="23" t="s">
        <v>361</v>
      </c>
      <c r="G130" s="23" t="s">
        <v>362</v>
      </c>
      <c r="H130" s="23">
        <v>169</v>
      </c>
      <c r="I130" s="25">
        <v>3588</v>
      </c>
      <c r="J130" s="25">
        <v>9844</v>
      </c>
      <c r="K130" s="25">
        <v>1633518</v>
      </c>
      <c r="L130" s="25">
        <v>157264</v>
      </c>
      <c r="M130" s="23" t="s">
        <v>368</v>
      </c>
      <c r="N130" s="23" t="s">
        <v>413</v>
      </c>
    </row>
    <row r="131" spans="1:14" x14ac:dyDescent="0.35">
      <c r="A131" s="23" t="s">
        <v>101</v>
      </c>
      <c r="B131" s="24">
        <v>45717</v>
      </c>
      <c r="C131" s="23" t="s">
        <v>342</v>
      </c>
      <c r="D131" s="23" t="s">
        <v>350</v>
      </c>
      <c r="E131" s="23" t="s">
        <v>353</v>
      </c>
      <c r="F131" s="23" t="s">
        <v>360</v>
      </c>
      <c r="G131" s="23" t="s">
        <v>362</v>
      </c>
      <c r="H131" s="23">
        <v>11</v>
      </c>
      <c r="I131" s="25">
        <v>13</v>
      </c>
      <c r="J131" s="25">
        <v>927</v>
      </c>
      <c r="K131" s="25">
        <v>1133</v>
      </c>
      <c r="L131" s="25">
        <v>87967</v>
      </c>
      <c r="M131" s="23" t="s">
        <v>364</v>
      </c>
      <c r="N131" s="23" t="s">
        <v>412</v>
      </c>
    </row>
    <row r="132" spans="1:14" x14ac:dyDescent="0.35">
      <c r="A132" s="23" t="s">
        <v>102</v>
      </c>
      <c r="B132" s="24">
        <v>45590</v>
      </c>
      <c r="C132" s="23" t="s">
        <v>341</v>
      </c>
      <c r="D132" s="23" t="s">
        <v>348</v>
      </c>
      <c r="E132" s="23" t="s">
        <v>354</v>
      </c>
      <c r="F132" s="23" t="s">
        <v>358</v>
      </c>
      <c r="G132" s="23" t="s">
        <v>362</v>
      </c>
      <c r="H132" s="23">
        <v>113</v>
      </c>
      <c r="I132" s="25">
        <v>2873</v>
      </c>
      <c r="J132" s="25">
        <v>4211</v>
      </c>
      <c r="K132" s="25">
        <v>324649</v>
      </c>
      <c r="L132" s="25">
        <v>151194</v>
      </c>
      <c r="M132" s="23" t="s">
        <v>369</v>
      </c>
      <c r="N132" s="23" t="s">
        <v>416</v>
      </c>
    </row>
    <row r="133" spans="1:14" x14ac:dyDescent="0.35">
      <c r="A133" s="23" t="s">
        <v>103</v>
      </c>
      <c r="B133" s="24">
        <v>45767</v>
      </c>
      <c r="C133" s="23" t="s">
        <v>345</v>
      </c>
      <c r="D133" s="23" t="s">
        <v>348</v>
      </c>
      <c r="E133" s="23" t="s">
        <v>352</v>
      </c>
      <c r="F133" s="23" t="s">
        <v>356</v>
      </c>
      <c r="G133" s="23" t="s">
        <v>362</v>
      </c>
      <c r="H133" s="23">
        <v>51</v>
      </c>
      <c r="I133" s="25">
        <v>12353</v>
      </c>
      <c r="J133" s="25">
        <v>8473</v>
      </c>
      <c r="K133" s="25">
        <v>633</v>
      </c>
      <c r="L133" s="25">
        <v>19788</v>
      </c>
      <c r="M133" s="23" t="s">
        <v>365</v>
      </c>
      <c r="N133" s="23" t="s">
        <v>417</v>
      </c>
    </row>
    <row r="134" spans="1:14" x14ac:dyDescent="0.35">
      <c r="A134" s="23" t="s">
        <v>104</v>
      </c>
      <c r="B134" s="24">
        <v>45434</v>
      </c>
      <c r="C134" s="23" t="s">
        <v>338</v>
      </c>
      <c r="D134" s="23" t="s">
        <v>348</v>
      </c>
      <c r="E134" s="23" t="s">
        <v>352</v>
      </c>
      <c r="F134" s="23" t="s">
        <v>360</v>
      </c>
      <c r="G134" s="23" t="s">
        <v>362</v>
      </c>
      <c r="H134" s="23">
        <v>224</v>
      </c>
      <c r="I134" s="25">
        <v>952</v>
      </c>
      <c r="J134" s="25">
        <v>375</v>
      </c>
      <c r="K134" s="25">
        <v>213248</v>
      </c>
      <c r="L134" s="25">
        <v>1076768</v>
      </c>
      <c r="M134" s="23" t="s">
        <v>368</v>
      </c>
      <c r="N134" s="23" t="s">
        <v>413</v>
      </c>
    </row>
    <row r="135" spans="1:14" x14ac:dyDescent="0.35">
      <c r="A135" s="23" t="s">
        <v>105</v>
      </c>
      <c r="B135" s="24">
        <v>45737</v>
      </c>
      <c r="C135" s="23" t="s">
        <v>338</v>
      </c>
      <c r="D135" s="23" t="s">
        <v>348</v>
      </c>
      <c r="E135" s="23" t="s">
        <v>353</v>
      </c>
      <c r="F135" s="23" t="s">
        <v>356</v>
      </c>
      <c r="G135" s="23" t="s">
        <v>362</v>
      </c>
      <c r="H135" s="23">
        <v>226</v>
      </c>
      <c r="I135" s="25">
        <v>1882</v>
      </c>
      <c r="J135" s="25">
        <v>4564</v>
      </c>
      <c r="K135" s="25">
        <v>2459332</v>
      </c>
      <c r="L135" s="25">
        <v>1427868</v>
      </c>
      <c r="M135" s="23" t="s">
        <v>364</v>
      </c>
      <c r="N135" s="23" t="s">
        <v>412</v>
      </c>
    </row>
    <row r="136" spans="1:14" x14ac:dyDescent="0.35">
      <c r="A136" s="23" t="s">
        <v>106</v>
      </c>
      <c r="B136" s="24">
        <v>45708</v>
      </c>
      <c r="C136" s="23" t="s">
        <v>344</v>
      </c>
      <c r="D136" s="23" t="s">
        <v>346</v>
      </c>
      <c r="E136" s="23" t="s">
        <v>353</v>
      </c>
      <c r="F136" s="23" t="s">
        <v>381</v>
      </c>
      <c r="G136" s="23" t="s">
        <v>363</v>
      </c>
      <c r="H136" s="23">
        <v>32</v>
      </c>
      <c r="I136" s="25">
        <v>14955</v>
      </c>
      <c r="J136" s="25">
        <v>3836</v>
      </c>
      <c r="K136" s="25">
        <v>47856</v>
      </c>
      <c r="L136" s="25">
        <v>35588</v>
      </c>
      <c r="M136" s="23" t="s">
        <v>374</v>
      </c>
      <c r="N136" s="23" t="s">
        <v>412</v>
      </c>
    </row>
    <row r="137" spans="1:14" x14ac:dyDescent="0.35">
      <c r="A137" s="23" t="s">
        <v>450</v>
      </c>
      <c r="B137" s="24">
        <v>45385</v>
      </c>
      <c r="C137" s="23" t="s">
        <v>342</v>
      </c>
      <c r="D137" s="23" t="s">
        <v>348</v>
      </c>
      <c r="E137" s="23" t="s">
        <v>353</v>
      </c>
      <c r="F137" s="23" t="s">
        <v>360</v>
      </c>
      <c r="G137" s="23" t="s">
        <v>362</v>
      </c>
      <c r="H137" s="23">
        <v>215</v>
      </c>
      <c r="I137" s="25">
        <v>12656</v>
      </c>
      <c r="J137" s="25">
        <v>9454</v>
      </c>
      <c r="K137" s="25">
        <v>27214</v>
      </c>
      <c r="L137" s="25">
        <v>68843</v>
      </c>
      <c r="M137" s="23" t="s">
        <v>365</v>
      </c>
      <c r="N137" s="23" t="s">
        <v>413</v>
      </c>
    </row>
    <row r="138" spans="1:14" x14ac:dyDescent="0.35">
      <c r="A138" s="23" t="s">
        <v>107</v>
      </c>
      <c r="B138" s="24">
        <v>45755</v>
      </c>
      <c r="C138" s="23" t="s">
        <v>339</v>
      </c>
      <c r="D138" s="23" t="s">
        <v>348</v>
      </c>
      <c r="E138" s="23" t="s">
        <v>351</v>
      </c>
      <c r="F138" s="23" t="s">
        <v>361</v>
      </c>
      <c r="G138" s="23" t="s">
        <v>362</v>
      </c>
      <c r="H138" s="23">
        <v>83</v>
      </c>
      <c r="I138" s="25">
        <v>1187</v>
      </c>
      <c r="J138" s="25">
        <v>353</v>
      </c>
      <c r="K138" s="25">
        <v>845521</v>
      </c>
      <c r="L138" s="25">
        <v>554772</v>
      </c>
      <c r="M138" s="23" t="s">
        <v>365</v>
      </c>
      <c r="N138" s="23" t="s">
        <v>417</v>
      </c>
    </row>
    <row r="139" spans="1:14" x14ac:dyDescent="0.35">
      <c r="A139" s="23" t="s">
        <v>108</v>
      </c>
      <c r="B139" s="24">
        <v>45710</v>
      </c>
      <c r="C139" s="23" t="s">
        <v>345</v>
      </c>
      <c r="D139" s="23" t="s">
        <v>350</v>
      </c>
      <c r="E139" s="23" t="s">
        <v>352</v>
      </c>
      <c r="F139" s="23" t="s">
        <v>381</v>
      </c>
      <c r="G139" s="23" t="s">
        <v>363</v>
      </c>
      <c r="H139" s="23">
        <v>1</v>
      </c>
      <c r="I139" s="25">
        <v>9133</v>
      </c>
      <c r="J139" s="25">
        <v>593</v>
      </c>
      <c r="K139" s="25">
        <v>9133</v>
      </c>
      <c r="L139" s="25">
        <v>854</v>
      </c>
      <c r="M139" s="23" t="s">
        <v>374</v>
      </c>
      <c r="N139" s="23" t="s">
        <v>412</v>
      </c>
    </row>
    <row r="140" spans="1:14" x14ac:dyDescent="0.35">
      <c r="A140" s="23" t="s">
        <v>451</v>
      </c>
      <c r="B140" s="24">
        <v>45366</v>
      </c>
      <c r="C140" s="23" t="s">
        <v>342</v>
      </c>
      <c r="D140" s="23" t="s">
        <v>348</v>
      </c>
      <c r="E140" s="23" t="s">
        <v>354</v>
      </c>
      <c r="F140" s="23" t="s">
        <v>356</v>
      </c>
      <c r="G140" s="23" t="s">
        <v>363</v>
      </c>
      <c r="H140" s="23">
        <v>64</v>
      </c>
      <c r="I140" s="25">
        <v>2858</v>
      </c>
      <c r="J140" s="25">
        <v>6656</v>
      </c>
      <c r="K140" s="25">
        <v>182912</v>
      </c>
      <c r="L140" s="25">
        <v>24372</v>
      </c>
      <c r="M140" s="23" t="s">
        <v>364</v>
      </c>
      <c r="N140" s="23" t="s">
        <v>414</v>
      </c>
    </row>
    <row r="141" spans="1:14" x14ac:dyDescent="0.35">
      <c r="A141" s="23" t="s">
        <v>109</v>
      </c>
      <c r="B141" s="24">
        <v>45761</v>
      </c>
      <c r="C141" s="23" t="s">
        <v>340</v>
      </c>
      <c r="D141" s="23" t="s">
        <v>348</v>
      </c>
      <c r="E141" s="23" t="s">
        <v>354</v>
      </c>
      <c r="F141" s="23" t="s">
        <v>356</v>
      </c>
      <c r="G141" s="23" t="s">
        <v>362</v>
      </c>
      <c r="H141" s="23">
        <v>232</v>
      </c>
      <c r="I141" s="25">
        <v>3514</v>
      </c>
      <c r="J141" s="25">
        <v>1837</v>
      </c>
      <c r="K141" s="25">
        <v>815248</v>
      </c>
      <c r="L141" s="25">
        <v>38964</v>
      </c>
      <c r="M141" s="23" t="s">
        <v>365</v>
      </c>
      <c r="N141" s="23" t="s">
        <v>417</v>
      </c>
    </row>
    <row r="142" spans="1:14" x14ac:dyDescent="0.35">
      <c r="A142" s="23" t="s">
        <v>452</v>
      </c>
      <c r="B142" s="24">
        <v>45352</v>
      </c>
      <c r="C142" s="23" t="s">
        <v>340</v>
      </c>
      <c r="D142" s="23" t="s">
        <v>346</v>
      </c>
      <c r="E142" s="23" t="s">
        <v>351</v>
      </c>
      <c r="F142" s="23" t="s">
        <v>357</v>
      </c>
      <c r="G142" s="23" t="s">
        <v>362</v>
      </c>
      <c r="H142" s="23">
        <v>251</v>
      </c>
      <c r="I142" s="25">
        <v>9492</v>
      </c>
      <c r="J142" s="25">
        <v>45846</v>
      </c>
      <c r="K142" s="25">
        <v>2382492</v>
      </c>
      <c r="L142" s="25">
        <v>623484</v>
      </c>
      <c r="M142" s="23" t="s">
        <v>364</v>
      </c>
      <c r="N142" s="23" t="s">
        <v>414</v>
      </c>
    </row>
    <row r="143" spans="1:14" x14ac:dyDescent="0.35">
      <c r="A143" s="23" t="s">
        <v>110</v>
      </c>
      <c r="B143" s="24">
        <v>45778</v>
      </c>
      <c r="C143" s="23" t="s">
        <v>345</v>
      </c>
      <c r="D143" s="23" t="s">
        <v>346</v>
      </c>
      <c r="E143" s="23" t="s">
        <v>354</v>
      </c>
      <c r="F143" s="23" t="s">
        <v>357</v>
      </c>
      <c r="G143" s="23" t="s">
        <v>362</v>
      </c>
      <c r="H143" s="23">
        <v>18</v>
      </c>
      <c r="I143" s="25">
        <v>14253</v>
      </c>
      <c r="J143" s="25">
        <v>1397</v>
      </c>
      <c r="K143" s="25">
        <v>256554</v>
      </c>
      <c r="L143" s="25">
        <v>23148</v>
      </c>
      <c r="M143" s="23" t="s">
        <v>368</v>
      </c>
      <c r="N143" s="23" t="s">
        <v>417</v>
      </c>
    </row>
    <row r="144" spans="1:14" x14ac:dyDescent="0.35">
      <c r="A144" s="23" t="s">
        <v>111</v>
      </c>
      <c r="B144" s="24">
        <v>45684</v>
      </c>
      <c r="C144" s="23" t="s">
        <v>344</v>
      </c>
      <c r="D144" s="23" t="s">
        <v>346</v>
      </c>
      <c r="E144" s="23" t="s">
        <v>353</v>
      </c>
      <c r="F144" s="23" t="s">
        <v>361</v>
      </c>
      <c r="G144" s="23" t="s">
        <v>363</v>
      </c>
      <c r="H144" s="23">
        <v>288</v>
      </c>
      <c r="I144" s="25">
        <v>6273</v>
      </c>
      <c r="J144" s="25">
        <v>2348</v>
      </c>
      <c r="K144" s="25">
        <v>186624</v>
      </c>
      <c r="L144" s="25">
        <v>1134</v>
      </c>
      <c r="M144" s="23" t="s">
        <v>366</v>
      </c>
      <c r="N144" s="23" t="s">
        <v>412</v>
      </c>
    </row>
    <row r="145" spans="1:14" x14ac:dyDescent="0.35">
      <c r="A145" s="23" t="s">
        <v>112</v>
      </c>
      <c r="B145" s="24">
        <v>45727</v>
      </c>
      <c r="C145" s="23" t="s">
        <v>341</v>
      </c>
      <c r="D145" s="23" t="s">
        <v>346</v>
      </c>
      <c r="E145" s="23" t="s">
        <v>353</v>
      </c>
      <c r="F145" s="23" t="s">
        <v>361</v>
      </c>
      <c r="G145" s="23" t="s">
        <v>363</v>
      </c>
      <c r="H145" s="23">
        <v>114</v>
      </c>
      <c r="I145" s="25">
        <v>2751</v>
      </c>
      <c r="J145" s="25">
        <v>7215</v>
      </c>
      <c r="K145" s="25">
        <v>313614</v>
      </c>
      <c r="L145" s="25">
        <v>2555360</v>
      </c>
      <c r="M145" s="23" t="s">
        <v>364</v>
      </c>
      <c r="N145" s="23" t="s">
        <v>412</v>
      </c>
    </row>
    <row r="146" spans="1:14" x14ac:dyDescent="0.35">
      <c r="A146" s="23" t="s">
        <v>453</v>
      </c>
      <c r="B146" s="24">
        <v>45595</v>
      </c>
      <c r="C146" s="23" t="s">
        <v>339</v>
      </c>
      <c r="D146" s="23" t="s">
        <v>348</v>
      </c>
      <c r="E146" s="23" t="s">
        <v>354</v>
      </c>
      <c r="F146" s="23" t="s">
        <v>361</v>
      </c>
      <c r="G146" s="23" t="s">
        <v>362</v>
      </c>
      <c r="H146" s="23">
        <v>272</v>
      </c>
      <c r="I146" s="25">
        <v>573</v>
      </c>
      <c r="J146" s="25">
        <v>6586</v>
      </c>
      <c r="K146" s="25">
        <v>1551216</v>
      </c>
      <c r="L146" s="25">
        <v>24176</v>
      </c>
      <c r="M146" s="23" t="s">
        <v>369</v>
      </c>
      <c r="N146" s="23" t="s">
        <v>416</v>
      </c>
    </row>
    <row r="147" spans="1:14" x14ac:dyDescent="0.35">
      <c r="A147" s="23" t="s">
        <v>454</v>
      </c>
      <c r="B147" s="24">
        <v>45401</v>
      </c>
      <c r="C147" s="23" t="s">
        <v>338</v>
      </c>
      <c r="D147" s="23" t="s">
        <v>346</v>
      </c>
      <c r="E147" s="23" t="s">
        <v>352</v>
      </c>
      <c r="F147" s="23" t="s">
        <v>355</v>
      </c>
      <c r="G147" s="23" t="s">
        <v>362</v>
      </c>
      <c r="H147" s="23">
        <v>41</v>
      </c>
      <c r="I147" s="25">
        <v>14334</v>
      </c>
      <c r="J147" s="25">
        <v>5487</v>
      </c>
      <c r="K147" s="25">
        <v>587694</v>
      </c>
      <c r="L147" s="25">
        <v>362727</v>
      </c>
      <c r="M147" s="23" t="s">
        <v>365</v>
      </c>
      <c r="N147" s="23" t="s">
        <v>413</v>
      </c>
    </row>
    <row r="148" spans="1:14" x14ac:dyDescent="0.35">
      <c r="A148" s="23" t="s">
        <v>113</v>
      </c>
      <c r="B148" s="24">
        <v>45653</v>
      </c>
      <c r="C148" s="23" t="s">
        <v>338</v>
      </c>
      <c r="D148" s="23" t="s">
        <v>350</v>
      </c>
      <c r="E148" s="23" t="s">
        <v>352</v>
      </c>
      <c r="F148" s="23" t="s">
        <v>361</v>
      </c>
      <c r="G148" s="23" t="s">
        <v>362</v>
      </c>
      <c r="H148" s="23">
        <v>121</v>
      </c>
      <c r="I148" s="25">
        <v>7835</v>
      </c>
      <c r="J148" s="25">
        <v>5762</v>
      </c>
      <c r="K148" s="25">
        <v>94835</v>
      </c>
      <c r="L148" s="25">
        <v>25833</v>
      </c>
      <c r="M148" s="23" t="s">
        <v>375</v>
      </c>
      <c r="N148" s="23" t="s">
        <v>416</v>
      </c>
    </row>
    <row r="149" spans="1:14" x14ac:dyDescent="0.35">
      <c r="A149" s="23" t="s">
        <v>114</v>
      </c>
      <c r="B149" s="24">
        <v>45587</v>
      </c>
      <c r="C149" s="23" t="s">
        <v>343</v>
      </c>
      <c r="D149" s="23" t="s">
        <v>346</v>
      </c>
      <c r="E149" s="23" t="s">
        <v>353</v>
      </c>
      <c r="F149" s="23" t="s">
        <v>381</v>
      </c>
      <c r="G149" s="23" t="s">
        <v>362</v>
      </c>
      <c r="H149" s="23">
        <v>57</v>
      </c>
      <c r="I149" s="25">
        <v>2527</v>
      </c>
      <c r="J149" s="25">
        <v>496</v>
      </c>
      <c r="K149" s="25">
        <v>14439</v>
      </c>
      <c r="L149" s="25">
        <v>89433</v>
      </c>
      <c r="M149" s="23" t="s">
        <v>369</v>
      </c>
      <c r="N149" s="23" t="s">
        <v>416</v>
      </c>
    </row>
    <row r="150" spans="1:14" x14ac:dyDescent="0.35">
      <c r="A150" s="23" t="s">
        <v>115</v>
      </c>
      <c r="B150" s="24">
        <v>45464</v>
      </c>
      <c r="C150" s="23" t="s">
        <v>342</v>
      </c>
      <c r="D150" s="23" t="s">
        <v>348</v>
      </c>
      <c r="E150" s="23" t="s">
        <v>354</v>
      </c>
      <c r="F150" s="23" t="s">
        <v>359</v>
      </c>
      <c r="G150" s="23" t="s">
        <v>363</v>
      </c>
      <c r="H150" s="23">
        <v>53</v>
      </c>
      <c r="I150" s="25">
        <v>1786</v>
      </c>
      <c r="J150" s="25">
        <v>9292</v>
      </c>
      <c r="K150" s="25">
        <v>94658</v>
      </c>
      <c r="L150" s="25">
        <v>397818</v>
      </c>
      <c r="M150" s="23" t="s">
        <v>370</v>
      </c>
      <c r="N150" s="23" t="s">
        <v>413</v>
      </c>
    </row>
    <row r="151" spans="1:14" x14ac:dyDescent="0.35">
      <c r="A151" s="23" t="s">
        <v>116</v>
      </c>
      <c r="B151" s="24">
        <v>45616</v>
      </c>
      <c r="C151" s="23" t="s">
        <v>340</v>
      </c>
      <c r="D151" s="23" t="s">
        <v>350</v>
      </c>
      <c r="E151" s="23" t="s">
        <v>352</v>
      </c>
      <c r="F151" s="23" t="s">
        <v>361</v>
      </c>
      <c r="G151" s="23" t="s">
        <v>363</v>
      </c>
      <c r="H151" s="23">
        <v>185</v>
      </c>
      <c r="I151" s="25">
        <v>1213</v>
      </c>
      <c r="J151" s="25">
        <v>4417</v>
      </c>
      <c r="K151" s="25">
        <v>222245</v>
      </c>
      <c r="L151" s="25">
        <v>14526</v>
      </c>
      <c r="M151" s="23" t="s">
        <v>373</v>
      </c>
      <c r="N151" s="23" t="s">
        <v>416</v>
      </c>
    </row>
    <row r="152" spans="1:14" x14ac:dyDescent="0.35">
      <c r="A152" s="23" t="s">
        <v>434</v>
      </c>
      <c r="B152" s="24">
        <v>45494</v>
      </c>
      <c r="C152" s="23" t="s">
        <v>343</v>
      </c>
      <c r="D152" s="23" t="s">
        <v>346</v>
      </c>
      <c r="E152" s="23" t="s">
        <v>354</v>
      </c>
      <c r="F152" s="23" t="s">
        <v>361</v>
      </c>
      <c r="G152" s="23" t="s">
        <v>363</v>
      </c>
      <c r="H152" s="23">
        <v>198</v>
      </c>
      <c r="I152" s="25">
        <v>8216</v>
      </c>
      <c r="J152" s="25">
        <v>2358</v>
      </c>
      <c r="K152" s="25">
        <v>1626768</v>
      </c>
      <c r="L152" s="25">
        <v>1159884</v>
      </c>
      <c r="M152" s="23" t="s">
        <v>372</v>
      </c>
      <c r="N152" s="23" t="s">
        <v>415</v>
      </c>
    </row>
    <row r="153" spans="1:14" x14ac:dyDescent="0.35">
      <c r="A153" s="23" t="s">
        <v>117</v>
      </c>
      <c r="B153" s="24">
        <v>45731</v>
      </c>
      <c r="C153" s="23" t="s">
        <v>338</v>
      </c>
      <c r="D153" s="23" t="s">
        <v>348</v>
      </c>
      <c r="E153" s="23" t="s">
        <v>354</v>
      </c>
      <c r="F153" s="23" t="s">
        <v>356</v>
      </c>
      <c r="G153" s="23" t="s">
        <v>363</v>
      </c>
      <c r="H153" s="23">
        <v>74</v>
      </c>
      <c r="I153" s="25">
        <v>5913</v>
      </c>
      <c r="J153" s="25">
        <v>972</v>
      </c>
      <c r="K153" s="25">
        <v>437562</v>
      </c>
      <c r="L153" s="25">
        <v>281718</v>
      </c>
      <c r="M153" s="23" t="s">
        <v>364</v>
      </c>
      <c r="N153" s="23" t="s">
        <v>412</v>
      </c>
    </row>
    <row r="154" spans="1:14" x14ac:dyDescent="0.35">
      <c r="A154" s="23" t="s">
        <v>118</v>
      </c>
      <c r="B154" s="24">
        <v>45543</v>
      </c>
      <c r="C154" s="23" t="s">
        <v>340</v>
      </c>
      <c r="D154" s="23" t="s">
        <v>346</v>
      </c>
      <c r="E154" s="23" t="s">
        <v>353</v>
      </c>
      <c r="F154" s="23" t="s">
        <v>361</v>
      </c>
      <c r="G154" s="23" t="s">
        <v>363</v>
      </c>
      <c r="H154" s="23">
        <v>175</v>
      </c>
      <c r="I154" s="25">
        <v>2978</v>
      </c>
      <c r="J154" s="25">
        <v>64</v>
      </c>
      <c r="K154" s="25">
        <v>52115</v>
      </c>
      <c r="L154" s="25">
        <v>59885</v>
      </c>
      <c r="M154" s="23" t="s">
        <v>367</v>
      </c>
      <c r="N154" s="23" t="s">
        <v>415</v>
      </c>
    </row>
    <row r="155" spans="1:14" x14ac:dyDescent="0.35">
      <c r="A155" s="23" t="s">
        <v>455</v>
      </c>
      <c r="B155" s="24">
        <v>45412</v>
      </c>
      <c r="C155" s="23" t="s">
        <v>338</v>
      </c>
      <c r="D155" s="23" t="s">
        <v>346</v>
      </c>
      <c r="E155" s="23" t="s">
        <v>354</v>
      </c>
      <c r="F155" s="23" t="s">
        <v>355</v>
      </c>
      <c r="G155" s="23" t="s">
        <v>363</v>
      </c>
      <c r="H155" s="23">
        <v>17</v>
      </c>
      <c r="I155" s="25">
        <v>12857</v>
      </c>
      <c r="J155" s="25">
        <v>5384</v>
      </c>
      <c r="K155" s="25">
        <v>218569</v>
      </c>
      <c r="L155" s="25">
        <v>12741</v>
      </c>
      <c r="M155" s="23" t="s">
        <v>365</v>
      </c>
      <c r="N155" s="23" t="s">
        <v>413</v>
      </c>
    </row>
    <row r="156" spans="1:14" x14ac:dyDescent="0.35">
      <c r="A156" s="23" t="s">
        <v>119</v>
      </c>
      <c r="B156" s="24">
        <v>45620</v>
      </c>
      <c r="C156" s="23" t="s">
        <v>341</v>
      </c>
      <c r="D156" s="23" t="s">
        <v>348</v>
      </c>
      <c r="E156" s="23" t="s">
        <v>353</v>
      </c>
      <c r="F156" s="23" t="s">
        <v>355</v>
      </c>
      <c r="G156" s="23" t="s">
        <v>363</v>
      </c>
      <c r="H156" s="23">
        <v>149</v>
      </c>
      <c r="I156" s="25">
        <v>11935</v>
      </c>
      <c r="J156" s="25">
        <v>593</v>
      </c>
      <c r="K156" s="25">
        <v>1778315</v>
      </c>
      <c r="L156" s="25">
        <v>898768</v>
      </c>
      <c r="M156" s="23" t="s">
        <v>373</v>
      </c>
      <c r="N156" s="23" t="s">
        <v>416</v>
      </c>
    </row>
    <row r="157" spans="1:14" x14ac:dyDescent="0.35">
      <c r="A157" s="23" t="s">
        <v>120</v>
      </c>
      <c r="B157" s="24">
        <v>45567</v>
      </c>
      <c r="C157" s="23" t="s">
        <v>338</v>
      </c>
      <c r="D157" s="23" t="s">
        <v>348</v>
      </c>
      <c r="E157" s="23" t="s">
        <v>352</v>
      </c>
      <c r="F157" s="23" t="s">
        <v>355</v>
      </c>
      <c r="G157" s="23" t="s">
        <v>363</v>
      </c>
      <c r="H157" s="23">
        <v>45</v>
      </c>
      <c r="I157" s="25">
        <v>5174</v>
      </c>
      <c r="J157" s="25">
        <v>6896</v>
      </c>
      <c r="K157" s="25">
        <v>23283</v>
      </c>
      <c r="L157" s="25">
        <v>7749</v>
      </c>
      <c r="M157" s="23" t="s">
        <v>369</v>
      </c>
      <c r="N157" s="23" t="s">
        <v>416</v>
      </c>
    </row>
    <row r="158" spans="1:14" x14ac:dyDescent="0.35">
      <c r="A158" s="23" t="s">
        <v>456</v>
      </c>
      <c r="B158" s="24">
        <v>45383</v>
      </c>
      <c r="C158" s="23" t="s">
        <v>345</v>
      </c>
      <c r="D158" s="23" t="s">
        <v>348</v>
      </c>
      <c r="E158" s="23" t="s">
        <v>352</v>
      </c>
      <c r="F158" s="23" t="s">
        <v>359</v>
      </c>
      <c r="G158" s="23" t="s">
        <v>362</v>
      </c>
      <c r="H158" s="23">
        <v>0</v>
      </c>
      <c r="I158" s="25">
        <v>14564</v>
      </c>
      <c r="J158" s="25">
        <v>9259</v>
      </c>
      <c r="K158" s="25">
        <v>68458</v>
      </c>
      <c r="L158" s="25">
        <v>249335</v>
      </c>
      <c r="M158" s="23" t="s">
        <v>365</v>
      </c>
      <c r="N158" s="23" t="s">
        <v>413</v>
      </c>
    </row>
    <row r="159" spans="1:14" x14ac:dyDescent="0.35">
      <c r="A159" s="23" t="s">
        <v>121</v>
      </c>
      <c r="B159" s="24">
        <v>45576</v>
      </c>
      <c r="C159" s="23" t="s">
        <v>344</v>
      </c>
      <c r="D159" s="23" t="s">
        <v>346</v>
      </c>
      <c r="E159" s="23" t="s">
        <v>352</v>
      </c>
      <c r="F159" s="23" t="s">
        <v>357</v>
      </c>
      <c r="G159" s="23" t="s">
        <v>362</v>
      </c>
      <c r="H159" s="23">
        <v>187</v>
      </c>
      <c r="I159" s="25">
        <v>13978</v>
      </c>
      <c r="J159" s="25">
        <v>2364</v>
      </c>
      <c r="K159" s="25">
        <v>2613886</v>
      </c>
      <c r="L159" s="25">
        <v>2171818</v>
      </c>
      <c r="M159" s="23" t="s">
        <v>369</v>
      </c>
      <c r="N159" s="23" t="s">
        <v>416</v>
      </c>
    </row>
    <row r="160" spans="1:14" x14ac:dyDescent="0.35">
      <c r="A160" s="23" t="s">
        <v>122</v>
      </c>
      <c r="B160" s="24">
        <v>45446</v>
      </c>
      <c r="C160" s="23" t="s">
        <v>341</v>
      </c>
      <c r="D160" s="23" t="s">
        <v>346</v>
      </c>
      <c r="E160" s="23" t="s">
        <v>351</v>
      </c>
      <c r="F160" s="23" t="s">
        <v>381</v>
      </c>
      <c r="G160" s="23" t="s">
        <v>362</v>
      </c>
      <c r="H160" s="23">
        <v>151</v>
      </c>
      <c r="I160" s="25">
        <v>3982</v>
      </c>
      <c r="J160" s="25">
        <v>4781</v>
      </c>
      <c r="K160" s="25">
        <v>61282</v>
      </c>
      <c r="L160" s="25">
        <v>12649</v>
      </c>
      <c r="M160" s="23" t="s">
        <v>370</v>
      </c>
      <c r="N160" s="23" t="s">
        <v>413</v>
      </c>
    </row>
    <row r="161" spans="1:14" x14ac:dyDescent="0.35">
      <c r="A161" s="23" t="s">
        <v>123</v>
      </c>
      <c r="B161" s="24">
        <v>45647</v>
      </c>
      <c r="C161" s="23" t="s">
        <v>341</v>
      </c>
      <c r="D161" s="23" t="s">
        <v>346</v>
      </c>
      <c r="E161" s="23" t="s">
        <v>353</v>
      </c>
      <c r="F161" s="23" t="s">
        <v>361</v>
      </c>
      <c r="G161" s="23" t="s">
        <v>362</v>
      </c>
      <c r="H161" s="23">
        <v>228</v>
      </c>
      <c r="I161" s="25">
        <v>8959</v>
      </c>
      <c r="J161" s="25">
        <v>161</v>
      </c>
      <c r="K161" s="25">
        <v>242652</v>
      </c>
      <c r="L161" s="25">
        <v>18744</v>
      </c>
      <c r="M161" s="23" t="s">
        <v>375</v>
      </c>
      <c r="N161" s="23" t="s">
        <v>416</v>
      </c>
    </row>
    <row r="162" spans="1:14" x14ac:dyDescent="0.35">
      <c r="A162" s="23" t="s">
        <v>457</v>
      </c>
      <c r="B162" s="24">
        <v>45502</v>
      </c>
      <c r="C162" s="23" t="s">
        <v>342</v>
      </c>
      <c r="D162" s="23" t="s">
        <v>346</v>
      </c>
      <c r="E162" s="23" t="s">
        <v>351</v>
      </c>
      <c r="F162" s="23" t="s">
        <v>381</v>
      </c>
      <c r="G162" s="23" t="s">
        <v>363</v>
      </c>
      <c r="H162" s="23">
        <v>262</v>
      </c>
      <c r="I162" s="25">
        <v>517</v>
      </c>
      <c r="J162" s="25">
        <v>369</v>
      </c>
      <c r="K162" s="25">
        <v>135454</v>
      </c>
      <c r="L162" s="25">
        <v>2586740</v>
      </c>
      <c r="M162" s="23" t="s">
        <v>372</v>
      </c>
      <c r="N162" s="23" t="s">
        <v>415</v>
      </c>
    </row>
    <row r="163" spans="1:14" x14ac:dyDescent="0.35">
      <c r="A163" s="23" t="s">
        <v>458</v>
      </c>
      <c r="B163" s="24">
        <v>45384</v>
      </c>
      <c r="C163" s="23" t="s">
        <v>338</v>
      </c>
      <c r="D163" s="23" t="s">
        <v>346</v>
      </c>
      <c r="E163" s="23" t="s">
        <v>352</v>
      </c>
      <c r="F163" s="23" t="s">
        <v>360</v>
      </c>
      <c r="G163" s="23" t="s">
        <v>363</v>
      </c>
      <c r="H163" s="23">
        <v>61</v>
      </c>
      <c r="I163" s="25">
        <v>12711</v>
      </c>
      <c r="J163" s="25">
        <v>9716</v>
      </c>
      <c r="K163" s="25">
        <v>775371</v>
      </c>
      <c r="L163" s="25">
        <v>182695</v>
      </c>
      <c r="M163" s="23" t="s">
        <v>365</v>
      </c>
      <c r="N163" s="23" t="s">
        <v>413</v>
      </c>
    </row>
    <row r="164" spans="1:14" x14ac:dyDescent="0.35">
      <c r="A164" s="23" t="s">
        <v>459</v>
      </c>
      <c r="B164" s="24">
        <v>45376</v>
      </c>
      <c r="C164" s="23" t="s">
        <v>341</v>
      </c>
      <c r="D164" s="23" t="s">
        <v>346</v>
      </c>
      <c r="E164" s="23" t="s">
        <v>352</v>
      </c>
      <c r="F164" s="23" t="s">
        <v>359</v>
      </c>
      <c r="G164" s="23" t="s">
        <v>363</v>
      </c>
      <c r="H164" s="23">
        <v>23</v>
      </c>
      <c r="I164" s="25">
        <v>882</v>
      </c>
      <c r="J164" s="25">
        <v>9267</v>
      </c>
      <c r="K164" s="25">
        <v>2286</v>
      </c>
      <c r="L164" s="25">
        <v>192855</v>
      </c>
      <c r="M164" s="23" t="s">
        <v>364</v>
      </c>
      <c r="N164" s="23" t="s">
        <v>414</v>
      </c>
    </row>
    <row r="165" spans="1:14" x14ac:dyDescent="0.35">
      <c r="A165" s="23" t="s">
        <v>460</v>
      </c>
      <c r="B165" s="24">
        <v>45306</v>
      </c>
      <c r="C165" s="23" t="s">
        <v>343</v>
      </c>
      <c r="D165" s="23" t="s">
        <v>346</v>
      </c>
      <c r="E165" s="23" t="s">
        <v>353</v>
      </c>
      <c r="F165" s="23" t="s">
        <v>360</v>
      </c>
      <c r="G165" s="23" t="s">
        <v>363</v>
      </c>
      <c r="H165" s="23">
        <v>257</v>
      </c>
      <c r="I165" s="25">
        <v>14235</v>
      </c>
      <c r="J165" s="25">
        <v>38</v>
      </c>
      <c r="K165" s="25">
        <v>3658395</v>
      </c>
      <c r="L165" s="25">
        <v>3579239</v>
      </c>
      <c r="M165" s="23" t="s">
        <v>366</v>
      </c>
      <c r="N165" s="23" t="s">
        <v>414</v>
      </c>
    </row>
    <row r="166" spans="1:14" x14ac:dyDescent="0.35">
      <c r="A166" s="23" t="s">
        <v>124</v>
      </c>
      <c r="B166" s="24">
        <v>45760</v>
      </c>
      <c r="C166" s="23" t="s">
        <v>342</v>
      </c>
      <c r="D166" s="23" t="s">
        <v>350</v>
      </c>
      <c r="E166" s="23" t="s">
        <v>353</v>
      </c>
      <c r="F166" s="23" t="s">
        <v>359</v>
      </c>
      <c r="G166" s="23" t="s">
        <v>363</v>
      </c>
      <c r="H166" s="23">
        <v>99</v>
      </c>
      <c r="I166" s="25">
        <v>174</v>
      </c>
      <c r="J166" s="25">
        <v>7126</v>
      </c>
      <c r="K166" s="25">
        <v>17226</v>
      </c>
      <c r="L166" s="25">
        <v>533214</v>
      </c>
      <c r="M166" s="23" t="s">
        <v>365</v>
      </c>
      <c r="N166" s="23" t="s">
        <v>417</v>
      </c>
    </row>
    <row r="167" spans="1:14" x14ac:dyDescent="0.35">
      <c r="A167" s="23" t="s">
        <v>125</v>
      </c>
      <c r="B167" s="24">
        <v>45447</v>
      </c>
      <c r="C167" s="23" t="s">
        <v>345</v>
      </c>
      <c r="D167" s="23" t="s">
        <v>350</v>
      </c>
      <c r="E167" s="23" t="s">
        <v>351</v>
      </c>
      <c r="F167" s="23" t="s">
        <v>358</v>
      </c>
      <c r="G167" s="23" t="s">
        <v>362</v>
      </c>
      <c r="H167" s="23">
        <v>159</v>
      </c>
      <c r="I167" s="25">
        <v>16</v>
      </c>
      <c r="J167" s="25">
        <v>6211</v>
      </c>
      <c r="K167" s="25">
        <v>2544</v>
      </c>
      <c r="L167" s="25">
        <v>733149</v>
      </c>
      <c r="M167" s="23" t="s">
        <v>370</v>
      </c>
      <c r="N167" s="23" t="s">
        <v>413</v>
      </c>
    </row>
    <row r="168" spans="1:14" x14ac:dyDescent="0.35">
      <c r="A168" s="23" t="s">
        <v>126</v>
      </c>
      <c r="B168" s="24">
        <v>45728</v>
      </c>
      <c r="C168" s="23" t="s">
        <v>340</v>
      </c>
      <c r="D168" s="23" t="s">
        <v>381</v>
      </c>
      <c r="E168" s="23" t="s">
        <v>353</v>
      </c>
      <c r="F168" s="23" t="s">
        <v>357</v>
      </c>
      <c r="G168" s="23" t="s">
        <v>362</v>
      </c>
      <c r="H168" s="26">
        <v>45661</v>
      </c>
      <c r="I168" s="25">
        <v>3138</v>
      </c>
      <c r="J168" s="25">
        <v>919</v>
      </c>
      <c r="K168" s="25">
        <v>326352</v>
      </c>
      <c r="L168" s="25">
        <v>62984</v>
      </c>
      <c r="M168" s="23" t="s">
        <v>364</v>
      </c>
      <c r="N168" s="23" t="s">
        <v>412</v>
      </c>
    </row>
    <row r="169" spans="1:14" x14ac:dyDescent="0.35">
      <c r="A169" s="23" t="s">
        <v>127</v>
      </c>
      <c r="B169" s="24">
        <v>45418</v>
      </c>
      <c r="C169" s="23" t="s">
        <v>341</v>
      </c>
      <c r="D169" s="23" t="s">
        <v>348</v>
      </c>
      <c r="E169" s="23" t="s">
        <v>352</v>
      </c>
      <c r="F169" s="23" t="s">
        <v>358</v>
      </c>
      <c r="G169" s="23" t="s">
        <v>363</v>
      </c>
      <c r="H169" s="23">
        <v>242</v>
      </c>
      <c r="I169" s="25">
        <v>917</v>
      </c>
      <c r="J169" s="25">
        <v>4139</v>
      </c>
      <c r="K169" s="25">
        <v>221914</v>
      </c>
      <c r="L169" s="25">
        <v>779724</v>
      </c>
      <c r="M169" s="23" t="s">
        <v>368</v>
      </c>
      <c r="N169" s="23" t="s">
        <v>413</v>
      </c>
    </row>
    <row r="170" spans="1:14" x14ac:dyDescent="0.35">
      <c r="A170" s="23" t="s">
        <v>128</v>
      </c>
      <c r="B170" s="24">
        <v>45741</v>
      </c>
      <c r="C170" s="23" t="s">
        <v>338</v>
      </c>
      <c r="D170" s="23" t="s">
        <v>348</v>
      </c>
      <c r="E170" s="23" t="s">
        <v>353</v>
      </c>
      <c r="F170" s="23" t="s">
        <v>360</v>
      </c>
      <c r="G170" s="23" t="s">
        <v>363</v>
      </c>
      <c r="H170" s="23">
        <v>95</v>
      </c>
      <c r="I170" s="25">
        <v>0</v>
      </c>
      <c r="J170" s="25">
        <v>183</v>
      </c>
      <c r="K170" s="25">
        <v>365845</v>
      </c>
      <c r="L170" s="25">
        <v>19456</v>
      </c>
      <c r="M170" s="23" t="s">
        <v>364</v>
      </c>
      <c r="N170" s="23" t="s">
        <v>412</v>
      </c>
    </row>
    <row r="171" spans="1:14" x14ac:dyDescent="0.35">
      <c r="A171" s="23" t="s">
        <v>129</v>
      </c>
      <c r="B171" s="24">
        <v>45454</v>
      </c>
      <c r="C171" s="23" t="s">
        <v>342</v>
      </c>
      <c r="D171" s="23" t="s">
        <v>346</v>
      </c>
      <c r="E171" s="23" t="s">
        <v>354</v>
      </c>
      <c r="F171" s="23" t="s">
        <v>360</v>
      </c>
      <c r="G171" s="23" t="s">
        <v>362</v>
      </c>
      <c r="H171" s="23">
        <v>294</v>
      </c>
      <c r="I171" s="25">
        <v>5512</v>
      </c>
      <c r="J171" s="25">
        <v>5224</v>
      </c>
      <c r="K171" s="25">
        <v>162528</v>
      </c>
      <c r="L171" s="25">
        <v>84671</v>
      </c>
      <c r="M171" s="23" t="s">
        <v>370</v>
      </c>
      <c r="N171" s="23" t="s">
        <v>413</v>
      </c>
    </row>
    <row r="172" spans="1:14" x14ac:dyDescent="0.35">
      <c r="A172" s="23" t="s">
        <v>130</v>
      </c>
      <c r="B172" s="24">
        <v>45469</v>
      </c>
      <c r="C172" s="23" t="s">
        <v>339</v>
      </c>
      <c r="D172" s="23" t="s">
        <v>346</v>
      </c>
      <c r="E172" s="23" t="s">
        <v>351</v>
      </c>
      <c r="F172" s="23" t="s">
        <v>357</v>
      </c>
      <c r="G172" s="23" t="s">
        <v>363</v>
      </c>
      <c r="H172" s="23">
        <v>52</v>
      </c>
      <c r="I172" s="25">
        <v>78</v>
      </c>
      <c r="J172" s="25">
        <v>721</v>
      </c>
      <c r="K172" s="25">
        <v>20546</v>
      </c>
      <c r="L172" s="25">
        <v>21276</v>
      </c>
      <c r="M172" s="23" t="s">
        <v>370</v>
      </c>
      <c r="N172" s="23" t="s">
        <v>413</v>
      </c>
    </row>
    <row r="173" spans="1:14" x14ac:dyDescent="0.35">
      <c r="A173" s="23" t="s">
        <v>131</v>
      </c>
      <c r="B173" s="24">
        <v>45750</v>
      </c>
      <c r="C173" s="23" t="s">
        <v>338</v>
      </c>
      <c r="D173" s="23" t="s">
        <v>346</v>
      </c>
      <c r="E173" s="23" t="s">
        <v>352</v>
      </c>
      <c r="F173" s="23" t="s">
        <v>356</v>
      </c>
      <c r="G173" s="23" t="s">
        <v>362</v>
      </c>
      <c r="H173" s="23">
        <v>278</v>
      </c>
      <c r="I173" s="25">
        <v>426</v>
      </c>
      <c r="J173" s="25">
        <v>4647</v>
      </c>
      <c r="K173" s="25">
        <v>1119228</v>
      </c>
      <c r="L173" s="25">
        <v>172638</v>
      </c>
      <c r="M173" s="23" t="s">
        <v>365</v>
      </c>
      <c r="N173" s="23" t="s">
        <v>417</v>
      </c>
    </row>
    <row r="174" spans="1:14" x14ac:dyDescent="0.35">
      <c r="A174" s="23" t="s">
        <v>132</v>
      </c>
      <c r="B174" s="24">
        <v>45527</v>
      </c>
      <c r="C174" s="23" t="s">
        <v>343</v>
      </c>
      <c r="D174" s="23" t="s">
        <v>348</v>
      </c>
      <c r="E174" s="23" t="s">
        <v>352</v>
      </c>
      <c r="F174" s="23" t="s">
        <v>360</v>
      </c>
      <c r="G174" s="23" t="s">
        <v>363</v>
      </c>
      <c r="H174" s="23">
        <v>226</v>
      </c>
      <c r="I174" s="25">
        <v>466</v>
      </c>
      <c r="J174" s="25">
        <v>8355</v>
      </c>
      <c r="K174" s="25">
        <v>918916</v>
      </c>
      <c r="L174" s="25">
        <v>969314</v>
      </c>
      <c r="M174" s="23" t="s">
        <v>371</v>
      </c>
      <c r="N174" s="23" t="s">
        <v>415</v>
      </c>
    </row>
    <row r="175" spans="1:14" x14ac:dyDescent="0.35">
      <c r="A175" s="23" t="s">
        <v>133</v>
      </c>
      <c r="B175" s="24">
        <v>45610</v>
      </c>
      <c r="C175" s="23" t="s">
        <v>339</v>
      </c>
      <c r="D175" s="23" t="s">
        <v>346</v>
      </c>
      <c r="E175" s="23" t="s">
        <v>354</v>
      </c>
      <c r="F175" s="23" t="s">
        <v>360</v>
      </c>
      <c r="G175" s="23" t="s">
        <v>363</v>
      </c>
      <c r="H175" s="23">
        <v>142</v>
      </c>
      <c r="I175" s="25">
        <v>9551</v>
      </c>
      <c r="J175" s="25">
        <v>6243</v>
      </c>
      <c r="K175" s="25">
        <v>1356242</v>
      </c>
      <c r="L175" s="25">
        <v>469736</v>
      </c>
      <c r="M175" s="23" t="s">
        <v>373</v>
      </c>
      <c r="N175" s="23" t="s">
        <v>416</v>
      </c>
    </row>
    <row r="176" spans="1:14" x14ac:dyDescent="0.35">
      <c r="A176" s="23" t="s">
        <v>460</v>
      </c>
      <c r="B176" s="24">
        <v>45396</v>
      </c>
      <c r="C176" s="23" t="s">
        <v>338</v>
      </c>
      <c r="D176" s="23" t="s">
        <v>350</v>
      </c>
      <c r="E176" s="23" t="s">
        <v>353</v>
      </c>
      <c r="F176" s="23" t="s">
        <v>356</v>
      </c>
      <c r="G176" s="23" t="s">
        <v>363</v>
      </c>
      <c r="H176" s="23">
        <v>217</v>
      </c>
      <c r="I176" s="25">
        <v>14199</v>
      </c>
      <c r="J176" s="25">
        <v>724</v>
      </c>
      <c r="K176" s="25">
        <v>381183</v>
      </c>
      <c r="L176" s="25">
        <v>1556975</v>
      </c>
      <c r="M176" s="23" t="s">
        <v>365</v>
      </c>
      <c r="N176" s="23" t="s">
        <v>413</v>
      </c>
    </row>
    <row r="177" spans="1:14" x14ac:dyDescent="0.35">
      <c r="A177" s="23" t="s">
        <v>134</v>
      </c>
      <c r="B177" s="24">
        <v>45436</v>
      </c>
      <c r="C177" s="23" t="s">
        <v>339</v>
      </c>
      <c r="D177" s="23" t="s">
        <v>346</v>
      </c>
      <c r="E177" s="23" t="s">
        <v>351</v>
      </c>
      <c r="F177" s="23" t="s">
        <v>359</v>
      </c>
      <c r="G177" s="23" t="s">
        <v>363</v>
      </c>
      <c r="H177" s="23">
        <v>12</v>
      </c>
      <c r="I177" s="25">
        <v>14268</v>
      </c>
      <c r="J177" s="25">
        <v>4392</v>
      </c>
      <c r="K177" s="25">
        <v>171216</v>
      </c>
      <c r="L177" s="25">
        <v>118512</v>
      </c>
      <c r="M177" s="23" t="s">
        <v>368</v>
      </c>
      <c r="N177" s="23" t="s">
        <v>413</v>
      </c>
    </row>
    <row r="178" spans="1:14" x14ac:dyDescent="0.35">
      <c r="A178" s="23" t="s">
        <v>461</v>
      </c>
      <c r="B178" s="24">
        <v>45552</v>
      </c>
      <c r="C178" s="23" t="s">
        <v>343</v>
      </c>
      <c r="D178" s="23" t="s">
        <v>348</v>
      </c>
      <c r="E178" s="23" t="s">
        <v>351</v>
      </c>
      <c r="F178" s="23" t="s">
        <v>381</v>
      </c>
      <c r="G178" s="23" t="s">
        <v>362</v>
      </c>
      <c r="H178" s="23">
        <v>26</v>
      </c>
      <c r="I178" s="25">
        <v>6669</v>
      </c>
      <c r="J178" s="25">
        <v>595</v>
      </c>
      <c r="K178" s="25">
        <v>173394</v>
      </c>
      <c r="L178" s="25">
        <v>19864</v>
      </c>
      <c r="M178" s="23" t="s">
        <v>367</v>
      </c>
      <c r="N178" s="23" t="s">
        <v>415</v>
      </c>
    </row>
    <row r="179" spans="1:14" x14ac:dyDescent="0.35">
      <c r="A179" s="23" t="s">
        <v>135</v>
      </c>
      <c r="B179" s="24">
        <v>45467</v>
      </c>
      <c r="C179" s="23" t="s">
        <v>340</v>
      </c>
      <c r="D179" s="23" t="s">
        <v>346</v>
      </c>
      <c r="E179" s="23" t="s">
        <v>351</v>
      </c>
      <c r="F179" s="23" t="s">
        <v>356</v>
      </c>
      <c r="G179" s="23" t="s">
        <v>363</v>
      </c>
      <c r="H179" s="23">
        <v>125</v>
      </c>
      <c r="I179" s="25">
        <v>3492</v>
      </c>
      <c r="J179" s="25">
        <v>483</v>
      </c>
      <c r="K179" s="25">
        <v>4365</v>
      </c>
      <c r="L179" s="25">
        <v>73875</v>
      </c>
      <c r="M179" s="23" t="s">
        <v>370</v>
      </c>
      <c r="N179" s="23" t="s">
        <v>413</v>
      </c>
    </row>
    <row r="180" spans="1:14" x14ac:dyDescent="0.35">
      <c r="A180" s="23" t="s">
        <v>136</v>
      </c>
      <c r="B180" s="24">
        <v>45566</v>
      </c>
      <c r="C180" s="23" t="s">
        <v>338</v>
      </c>
      <c r="D180" s="23" t="s">
        <v>346</v>
      </c>
      <c r="E180" s="23" t="s">
        <v>354</v>
      </c>
      <c r="F180" s="23" t="s">
        <v>357</v>
      </c>
      <c r="G180" s="23" t="s">
        <v>363</v>
      </c>
      <c r="H180" s="23">
        <v>157</v>
      </c>
      <c r="I180" s="25">
        <v>14854</v>
      </c>
      <c r="J180" s="25">
        <v>775</v>
      </c>
      <c r="K180" s="25">
        <v>233278</v>
      </c>
      <c r="L180" s="25">
        <v>1115328</v>
      </c>
      <c r="M180" s="23" t="s">
        <v>369</v>
      </c>
      <c r="N180" s="23" t="s">
        <v>416</v>
      </c>
    </row>
    <row r="181" spans="1:14" x14ac:dyDescent="0.35">
      <c r="A181" s="23" t="s">
        <v>137</v>
      </c>
      <c r="B181" s="24">
        <v>45758</v>
      </c>
      <c r="C181" s="23" t="s">
        <v>342</v>
      </c>
      <c r="D181" s="23" t="s">
        <v>346</v>
      </c>
      <c r="E181" s="23" t="s">
        <v>352</v>
      </c>
      <c r="F181" s="23" t="s">
        <v>355</v>
      </c>
      <c r="G181" s="23" t="s">
        <v>363</v>
      </c>
      <c r="H181" s="23">
        <v>18</v>
      </c>
      <c r="I181" s="25">
        <v>13497</v>
      </c>
      <c r="J181" s="25">
        <v>2637</v>
      </c>
      <c r="K181" s="25">
        <v>242946</v>
      </c>
      <c r="L181" s="25">
        <v>19548</v>
      </c>
      <c r="M181" s="23" t="s">
        <v>365</v>
      </c>
      <c r="N181" s="23" t="s">
        <v>417</v>
      </c>
    </row>
    <row r="182" spans="1:14" x14ac:dyDescent="0.35">
      <c r="A182" s="23" t="s">
        <v>138</v>
      </c>
      <c r="B182" s="24">
        <v>45451</v>
      </c>
      <c r="C182" s="23" t="s">
        <v>341</v>
      </c>
      <c r="D182" s="23" t="s">
        <v>350</v>
      </c>
      <c r="E182" s="23" t="s">
        <v>352</v>
      </c>
      <c r="F182" s="23" t="s">
        <v>357</v>
      </c>
      <c r="G182" s="23" t="s">
        <v>362</v>
      </c>
      <c r="H182" s="23">
        <v>112</v>
      </c>
      <c r="I182" s="25">
        <v>2513</v>
      </c>
      <c r="J182" s="25">
        <v>9439</v>
      </c>
      <c r="K182" s="25">
        <v>281456</v>
      </c>
      <c r="L182" s="25">
        <v>775712</v>
      </c>
      <c r="M182" s="23" t="s">
        <v>370</v>
      </c>
      <c r="N182" s="23" t="s">
        <v>413</v>
      </c>
    </row>
    <row r="183" spans="1:14" x14ac:dyDescent="0.35">
      <c r="A183" s="23" t="s">
        <v>462</v>
      </c>
      <c r="B183" s="24">
        <v>45397</v>
      </c>
      <c r="C183" s="23" t="s">
        <v>344</v>
      </c>
      <c r="D183" s="23" t="s">
        <v>348</v>
      </c>
      <c r="E183" s="23" t="s">
        <v>351</v>
      </c>
      <c r="F183" s="23" t="s">
        <v>361</v>
      </c>
      <c r="G183" s="23" t="s">
        <v>363</v>
      </c>
      <c r="H183" s="23">
        <v>254</v>
      </c>
      <c r="I183" s="25">
        <v>1282</v>
      </c>
      <c r="J183" s="25">
        <v>3531</v>
      </c>
      <c r="K183" s="25">
        <v>325628</v>
      </c>
      <c r="L183" s="25">
        <v>235946</v>
      </c>
      <c r="M183" s="23" t="s">
        <v>365</v>
      </c>
      <c r="N183" s="23" t="s">
        <v>413</v>
      </c>
    </row>
    <row r="184" spans="1:14" x14ac:dyDescent="0.35">
      <c r="A184" s="23" t="s">
        <v>139</v>
      </c>
      <c r="B184" s="24">
        <v>45525</v>
      </c>
      <c r="C184" s="23" t="s">
        <v>344</v>
      </c>
      <c r="D184" s="23" t="s">
        <v>346</v>
      </c>
      <c r="E184" s="23" t="s">
        <v>351</v>
      </c>
      <c r="F184" s="23" t="s">
        <v>360</v>
      </c>
      <c r="G184" s="23" t="s">
        <v>363</v>
      </c>
      <c r="H184" s="26">
        <v>45660</v>
      </c>
      <c r="I184" s="25">
        <v>1976</v>
      </c>
      <c r="J184" s="25">
        <v>1775</v>
      </c>
      <c r="K184" s="25">
        <v>594647</v>
      </c>
      <c r="L184" s="25">
        <v>26696</v>
      </c>
      <c r="M184" s="23" t="s">
        <v>371</v>
      </c>
      <c r="N184" s="23" t="s">
        <v>415</v>
      </c>
    </row>
    <row r="185" spans="1:14" x14ac:dyDescent="0.35">
      <c r="A185" s="23" t="s">
        <v>140</v>
      </c>
      <c r="B185" s="24">
        <v>45588</v>
      </c>
      <c r="C185" s="23" t="s">
        <v>345</v>
      </c>
      <c r="D185" s="23" t="s">
        <v>348</v>
      </c>
      <c r="E185" s="23" t="s">
        <v>354</v>
      </c>
      <c r="F185" s="23" t="s">
        <v>361</v>
      </c>
      <c r="G185" s="23" t="s">
        <v>362</v>
      </c>
      <c r="H185" s="23">
        <v>173</v>
      </c>
      <c r="I185" s="25">
        <v>1231</v>
      </c>
      <c r="J185" s="25">
        <v>2887</v>
      </c>
      <c r="K185" s="25">
        <v>281363</v>
      </c>
      <c r="L185" s="25">
        <v>1581912</v>
      </c>
      <c r="M185" s="23" t="s">
        <v>369</v>
      </c>
      <c r="N185" s="23" t="s">
        <v>416</v>
      </c>
    </row>
    <row r="186" spans="1:14" x14ac:dyDescent="0.35">
      <c r="A186" s="23" t="s">
        <v>141</v>
      </c>
      <c r="B186" s="24">
        <v>45746</v>
      </c>
      <c r="C186" s="23" t="s">
        <v>345</v>
      </c>
      <c r="D186" s="23" t="s">
        <v>350</v>
      </c>
      <c r="E186" s="23" t="s">
        <v>352</v>
      </c>
      <c r="F186" s="23" t="s">
        <v>359</v>
      </c>
      <c r="G186" s="23" t="s">
        <v>362</v>
      </c>
      <c r="H186" s="23">
        <v>36</v>
      </c>
      <c r="I186" s="25">
        <v>389</v>
      </c>
      <c r="J186" s="25">
        <v>3387</v>
      </c>
      <c r="K186" s="25">
        <v>11124</v>
      </c>
      <c r="L186" s="25">
        <v>1728</v>
      </c>
      <c r="M186" s="23" t="s">
        <v>364</v>
      </c>
      <c r="N186" s="23" t="s">
        <v>412</v>
      </c>
    </row>
    <row r="187" spans="1:14" x14ac:dyDescent="0.35">
      <c r="A187" s="23" t="s">
        <v>463</v>
      </c>
      <c r="B187" s="24">
        <v>45292</v>
      </c>
      <c r="C187" s="23" t="s">
        <v>338</v>
      </c>
      <c r="D187" s="23" t="s">
        <v>350</v>
      </c>
      <c r="E187" s="23" t="s">
        <v>351</v>
      </c>
      <c r="F187" s="23" t="s">
        <v>359</v>
      </c>
      <c r="G187" s="23" t="s">
        <v>363</v>
      </c>
      <c r="H187" s="26">
        <v>45659</v>
      </c>
      <c r="I187" s="25">
        <v>11542</v>
      </c>
      <c r="J187" s="25">
        <v>8382</v>
      </c>
      <c r="K187" s="25">
        <v>1177284</v>
      </c>
      <c r="L187" s="25">
        <v>32232</v>
      </c>
      <c r="M187" s="23" t="s">
        <v>366</v>
      </c>
      <c r="N187" s="23" t="s">
        <v>414</v>
      </c>
    </row>
    <row r="188" spans="1:14" x14ac:dyDescent="0.35">
      <c r="A188" s="23" t="s">
        <v>142</v>
      </c>
      <c r="B188" s="24">
        <v>45513</v>
      </c>
      <c r="C188" s="23" t="s">
        <v>341</v>
      </c>
      <c r="D188" s="23" t="s">
        <v>346</v>
      </c>
      <c r="E188" s="23" t="s">
        <v>351</v>
      </c>
      <c r="F188" s="23" t="s">
        <v>381</v>
      </c>
      <c r="G188" s="23" t="s">
        <v>363</v>
      </c>
      <c r="H188" s="23">
        <v>232</v>
      </c>
      <c r="I188" s="25">
        <v>45909</v>
      </c>
      <c r="J188" s="25">
        <v>735</v>
      </c>
      <c r="K188" s="25">
        <v>32182</v>
      </c>
      <c r="L188" s="25">
        <v>457968</v>
      </c>
      <c r="M188" s="23" t="s">
        <v>371</v>
      </c>
      <c r="N188" s="23" t="s">
        <v>415</v>
      </c>
    </row>
    <row r="189" spans="1:14" x14ac:dyDescent="0.35">
      <c r="A189" s="23" t="s">
        <v>143</v>
      </c>
      <c r="B189" s="24">
        <v>45775</v>
      </c>
      <c r="C189" s="23" t="s">
        <v>341</v>
      </c>
      <c r="D189" s="23" t="s">
        <v>346</v>
      </c>
      <c r="E189" s="23" t="s">
        <v>352</v>
      </c>
      <c r="F189" s="23" t="s">
        <v>360</v>
      </c>
      <c r="G189" s="23" t="s">
        <v>362</v>
      </c>
      <c r="H189" s="23">
        <v>56</v>
      </c>
      <c r="I189" s="25">
        <v>855</v>
      </c>
      <c r="J189" s="25">
        <v>545</v>
      </c>
      <c r="K189" s="25">
        <v>47628</v>
      </c>
      <c r="L189" s="25">
        <v>1736</v>
      </c>
      <c r="M189" s="23" t="s">
        <v>365</v>
      </c>
      <c r="N189" s="23" t="s">
        <v>417</v>
      </c>
    </row>
    <row r="190" spans="1:14" x14ac:dyDescent="0.35">
      <c r="A190" s="23" t="s">
        <v>144</v>
      </c>
      <c r="B190" s="24">
        <v>45428</v>
      </c>
      <c r="C190" s="23" t="s">
        <v>338</v>
      </c>
      <c r="D190" s="23" t="s">
        <v>346</v>
      </c>
      <c r="E190" s="23" t="s">
        <v>352</v>
      </c>
      <c r="F190" s="23" t="s">
        <v>358</v>
      </c>
      <c r="G190" s="23" t="s">
        <v>363</v>
      </c>
      <c r="H190" s="26">
        <v>45664</v>
      </c>
      <c r="I190" s="25">
        <v>6843</v>
      </c>
      <c r="J190" s="25">
        <v>1283</v>
      </c>
      <c r="K190" s="25">
        <v>73221</v>
      </c>
      <c r="L190" s="25">
        <v>59492</v>
      </c>
      <c r="M190" s="23" t="s">
        <v>368</v>
      </c>
      <c r="N190" s="23" t="s">
        <v>413</v>
      </c>
    </row>
    <row r="191" spans="1:14" x14ac:dyDescent="0.35">
      <c r="A191" s="23" t="s">
        <v>445</v>
      </c>
      <c r="B191" s="24">
        <v>45652</v>
      </c>
      <c r="C191" s="23" t="s">
        <v>341</v>
      </c>
      <c r="D191" s="23" t="s">
        <v>348</v>
      </c>
      <c r="E191" s="23" t="s">
        <v>353</v>
      </c>
      <c r="F191" s="23" t="s">
        <v>359</v>
      </c>
      <c r="G191" s="23" t="s">
        <v>363</v>
      </c>
      <c r="H191" s="23">
        <v>57</v>
      </c>
      <c r="I191" s="25">
        <v>9</v>
      </c>
      <c r="J191" s="25">
        <v>151</v>
      </c>
      <c r="K191" s="25">
        <v>513</v>
      </c>
      <c r="L191" s="25">
        <v>427443</v>
      </c>
      <c r="M191" s="23" t="s">
        <v>375</v>
      </c>
      <c r="N191" s="23" t="s">
        <v>416</v>
      </c>
    </row>
    <row r="192" spans="1:14" x14ac:dyDescent="0.35">
      <c r="A192" s="23" t="s">
        <v>145</v>
      </c>
      <c r="B192" s="24">
        <v>45669</v>
      </c>
      <c r="C192" s="23" t="s">
        <v>342</v>
      </c>
      <c r="D192" s="23" t="s">
        <v>346</v>
      </c>
      <c r="E192" s="23" t="s">
        <v>352</v>
      </c>
      <c r="F192" s="23" t="s">
        <v>361</v>
      </c>
      <c r="G192" s="23" t="s">
        <v>363</v>
      </c>
      <c r="H192" s="23">
        <v>75</v>
      </c>
      <c r="I192" s="25">
        <v>737</v>
      </c>
      <c r="J192" s="25">
        <v>3527</v>
      </c>
      <c r="K192" s="25">
        <v>527775</v>
      </c>
      <c r="L192" s="25">
        <v>26325</v>
      </c>
      <c r="M192" s="23" t="s">
        <v>366</v>
      </c>
      <c r="N192" s="23" t="s">
        <v>412</v>
      </c>
    </row>
    <row r="193" spans="1:14" x14ac:dyDescent="0.35">
      <c r="A193" s="23" t="s">
        <v>464</v>
      </c>
      <c r="B193" s="24">
        <v>45359</v>
      </c>
      <c r="C193" s="23" t="s">
        <v>340</v>
      </c>
      <c r="D193" s="23" t="s">
        <v>350</v>
      </c>
      <c r="E193" s="23" t="s">
        <v>353</v>
      </c>
      <c r="F193" s="23" t="s">
        <v>359</v>
      </c>
      <c r="G193" s="23" t="s">
        <v>362</v>
      </c>
      <c r="H193" s="23">
        <v>279</v>
      </c>
      <c r="I193" s="25">
        <v>14629</v>
      </c>
      <c r="J193" s="25">
        <v>9512</v>
      </c>
      <c r="K193" s="25">
        <v>481491</v>
      </c>
      <c r="L193" s="25">
        <v>1427643</v>
      </c>
      <c r="M193" s="23" t="s">
        <v>364</v>
      </c>
      <c r="N193" s="23" t="s">
        <v>414</v>
      </c>
    </row>
    <row r="194" spans="1:14" x14ac:dyDescent="0.35">
      <c r="A194" s="23" t="s">
        <v>465</v>
      </c>
      <c r="B194" s="24">
        <v>45336</v>
      </c>
      <c r="C194" s="23" t="s">
        <v>343</v>
      </c>
      <c r="D194" s="23" t="s">
        <v>346</v>
      </c>
      <c r="E194" s="23" t="s">
        <v>353</v>
      </c>
      <c r="F194" s="23" t="s">
        <v>356</v>
      </c>
      <c r="G194" s="23" t="s">
        <v>362</v>
      </c>
      <c r="H194" s="23">
        <v>34</v>
      </c>
      <c r="I194" s="25">
        <v>14898</v>
      </c>
      <c r="J194" s="25">
        <v>277</v>
      </c>
      <c r="K194" s="25">
        <v>1691926</v>
      </c>
      <c r="L194" s="25">
        <v>412352</v>
      </c>
      <c r="M194" s="23" t="s">
        <v>374</v>
      </c>
      <c r="N194" s="23" t="s">
        <v>414</v>
      </c>
    </row>
    <row r="195" spans="1:14" x14ac:dyDescent="0.35">
      <c r="A195" s="23" t="s">
        <v>146</v>
      </c>
      <c r="B195" s="24">
        <v>45613</v>
      </c>
      <c r="C195" s="23" t="s">
        <v>345</v>
      </c>
      <c r="D195" s="23" t="s">
        <v>348</v>
      </c>
      <c r="E195" s="23" t="s">
        <v>353</v>
      </c>
      <c r="F195" s="23" t="s">
        <v>357</v>
      </c>
      <c r="G195" s="23" t="s">
        <v>363</v>
      </c>
      <c r="H195" s="23">
        <v>214</v>
      </c>
      <c r="I195" s="25">
        <v>962</v>
      </c>
      <c r="J195" s="25">
        <v>135</v>
      </c>
      <c r="K195" s="25">
        <v>254828</v>
      </c>
      <c r="L195" s="25">
        <v>1765928</v>
      </c>
      <c r="M195" s="23" t="s">
        <v>373</v>
      </c>
      <c r="N195" s="23" t="s">
        <v>416</v>
      </c>
    </row>
    <row r="196" spans="1:14" x14ac:dyDescent="0.35">
      <c r="A196" s="23" t="s">
        <v>147</v>
      </c>
      <c r="B196" s="24">
        <v>45753</v>
      </c>
      <c r="C196" s="23" t="s">
        <v>339</v>
      </c>
      <c r="D196" s="23" t="s">
        <v>346</v>
      </c>
      <c r="E196" s="23" t="s">
        <v>351</v>
      </c>
      <c r="F196" s="23" t="s">
        <v>361</v>
      </c>
      <c r="G196" s="23" t="s">
        <v>362</v>
      </c>
      <c r="H196" s="23">
        <v>272</v>
      </c>
      <c r="I196" s="25">
        <v>12538</v>
      </c>
      <c r="J196" s="25">
        <v>1864</v>
      </c>
      <c r="K196" s="25">
        <v>341336</v>
      </c>
      <c r="L196" s="25">
        <v>293328</v>
      </c>
      <c r="M196" s="23" t="s">
        <v>365</v>
      </c>
      <c r="N196" s="23" t="s">
        <v>417</v>
      </c>
    </row>
    <row r="197" spans="1:14" x14ac:dyDescent="0.35">
      <c r="A197" s="23" t="s">
        <v>466</v>
      </c>
      <c r="B197" s="24">
        <v>45319</v>
      </c>
      <c r="C197" s="23" t="s">
        <v>339</v>
      </c>
      <c r="D197" s="23" t="s">
        <v>346</v>
      </c>
      <c r="E197" s="23" t="s">
        <v>354</v>
      </c>
      <c r="F197" s="23" t="s">
        <v>355</v>
      </c>
      <c r="G197" s="23" t="s">
        <v>362</v>
      </c>
      <c r="H197" s="23">
        <v>189</v>
      </c>
      <c r="I197" s="25">
        <v>1316</v>
      </c>
      <c r="J197" s="25">
        <v>183</v>
      </c>
      <c r="K197" s="25">
        <v>248724</v>
      </c>
      <c r="L197" s="25">
        <v>97146</v>
      </c>
      <c r="M197" s="23" t="s">
        <v>366</v>
      </c>
      <c r="N197" s="23" t="s">
        <v>414</v>
      </c>
    </row>
    <row r="198" spans="1:14" x14ac:dyDescent="0.35">
      <c r="A198" s="23" t="s">
        <v>148</v>
      </c>
      <c r="B198" s="24">
        <v>45721</v>
      </c>
      <c r="C198" s="23" t="s">
        <v>344</v>
      </c>
      <c r="D198" s="23" t="s">
        <v>348</v>
      </c>
      <c r="E198" s="23" t="s">
        <v>354</v>
      </c>
      <c r="F198" s="23" t="s">
        <v>359</v>
      </c>
      <c r="G198" s="23" t="s">
        <v>363</v>
      </c>
      <c r="H198" s="23">
        <v>34</v>
      </c>
      <c r="I198" s="25">
        <v>11745</v>
      </c>
      <c r="J198" s="25">
        <v>9141</v>
      </c>
      <c r="K198" s="25">
        <v>39933</v>
      </c>
      <c r="L198" s="25">
        <v>88536</v>
      </c>
      <c r="M198" s="23" t="s">
        <v>364</v>
      </c>
      <c r="N198" s="23" t="s">
        <v>412</v>
      </c>
    </row>
    <row r="199" spans="1:14" x14ac:dyDescent="0.35">
      <c r="A199" s="23" t="s">
        <v>149</v>
      </c>
      <c r="B199" s="24">
        <v>45534</v>
      </c>
      <c r="C199" s="23" t="s">
        <v>343</v>
      </c>
      <c r="D199" s="23" t="s">
        <v>348</v>
      </c>
      <c r="E199" s="23" t="s">
        <v>354</v>
      </c>
      <c r="F199" s="23" t="s">
        <v>356</v>
      </c>
      <c r="G199" s="23" t="s">
        <v>363</v>
      </c>
      <c r="H199" s="23">
        <v>168</v>
      </c>
      <c r="I199" s="25">
        <v>815</v>
      </c>
      <c r="J199" s="25">
        <v>2746</v>
      </c>
      <c r="K199" s="25">
        <v>136164</v>
      </c>
      <c r="L199" s="25">
        <v>9312</v>
      </c>
      <c r="M199" s="23" t="s">
        <v>371</v>
      </c>
      <c r="N199" s="23" t="s">
        <v>415</v>
      </c>
    </row>
    <row r="200" spans="1:14" x14ac:dyDescent="0.35">
      <c r="A200" s="23" t="s">
        <v>150</v>
      </c>
      <c r="B200" s="24">
        <v>45558</v>
      </c>
      <c r="C200" s="23" t="s">
        <v>339</v>
      </c>
      <c r="D200" s="23" t="s">
        <v>348</v>
      </c>
      <c r="E200" s="23" t="s">
        <v>352</v>
      </c>
      <c r="F200" s="23" t="s">
        <v>358</v>
      </c>
      <c r="G200" s="23" t="s">
        <v>363</v>
      </c>
      <c r="H200" s="23">
        <v>146</v>
      </c>
      <c r="I200" s="25">
        <v>8928</v>
      </c>
      <c r="J200" s="25">
        <v>9695</v>
      </c>
      <c r="K200" s="25">
        <v>133488</v>
      </c>
      <c r="L200" s="25">
        <v>111982</v>
      </c>
      <c r="M200" s="23" t="s">
        <v>367</v>
      </c>
      <c r="N200" s="23" t="s">
        <v>415</v>
      </c>
    </row>
    <row r="201" spans="1:14" x14ac:dyDescent="0.35">
      <c r="A201" s="23" t="s">
        <v>151</v>
      </c>
      <c r="B201" s="24">
        <v>45784</v>
      </c>
      <c r="C201" s="23" t="s">
        <v>338</v>
      </c>
      <c r="D201" s="23" t="s">
        <v>350</v>
      </c>
      <c r="E201" s="23" t="s">
        <v>353</v>
      </c>
      <c r="F201" s="23" t="s">
        <v>360</v>
      </c>
      <c r="G201" s="23" t="s">
        <v>362</v>
      </c>
      <c r="H201" s="23">
        <v>162</v>
      </c>
      <c r="I201" s="25">
        <v>1298</v>
      </c>
      <c r="J201" s="25">
        <v>1654</v>
      </c>
      <c r="K201" s="25">
        <v>1959876</v>
      </c>
      <c r="L201" s="25">
        <v>1691928</v>
      </c>
      <c r="M201" s="23" t="s">
        <v>368</v>
      </c>
      <c r="N201" s="23" t="s">
        <v>417</v>
      </c>
    </row>
    <row r="202" spans="1:14" x14ac:dyDescent="0.35">
      <c r="A202" s="23" t="s">
        <v>152</v>
      </c>
      <c r="B202" s="24">
        <v>45551</v>
      </c>
      <c r="C202" s="23" t="s">
        <v>343</v>
      </c>
      <c r="D202" s="23" t="s">
        <v>348</v>
      </c>
      <c r="E202" s="23" t="s">
        <v>352</v>
      </c>
      <c r="F202" s="23" t="s">
        <v>358</v>
      </c>
      <c r="G202" s="23" t="s">
        <v>363</v>
      </c>
      <c r="H202" s="23">
        <v>282</v>
      </c>
      <c r="I202" s="25">
        <v>5193</v>
      </c>
      <c r="J202" s="25">
        <v>86</v>
      </c>
      <c r="K202" s="25">
        <v>1464426</v>
      </c>
      <c r="L202" s="25">
        <v>122196</v>
      </c>
      <c r="M202" s="23" t="s">
        <v>367</v>
      </c>
      <c r="N202" s="23" t="s">
        <v>415</v>
      </c>
    </row>
    <row r="203" spans="1:14" x14ac:dyDescent="0.35">
      <c r="A203" s="23" t="s">
        <v>153</v>
      </c>
      <c r="B203" s="24">
        <v>45687</v>
      </c>
      <c r="C203" s="23" t="s">
        <v>344</v>
      </c>
      <c r="D203" s="23" t="s">
        <v>346</v>
      </c>
      <c r="E203" s="23" t="s">
        <v>352</v>
      </c>
      <c r="F203" s="23" t="s">
        <v>358</v>
      </c>
      <c r="G203" s="23" t="s">
        <v>363</v>
      </c>
      <c r="H203" s="23">
        <v>0</v>
      </c>
      <c r="I203" s="25">
        <v>5522</v>
      </c>
      <c r="J203" s="25">
        <v>1985</v>
      </c>
      <c r="K203" s="25">
        <v>121484</v>
      </c>
      <c r="L203" s="25">
        <v>77814</v>
      </c>
      <c r="M203" s="23" t="s">
        <v>366</v>
      </c>
      <c r="N203" s="23" t="s">
        <v>412</v>
      </c>
    </row>
    <row r="204" spans="1:14" x14ac:dyDescent="0.35">
      <c r="A204" s="23" t="s">
        <v>154</v>
      </c>
      <c r="B204" s="24">
        <v>45706</v>
      </c>
      <c r="C204" s="23" t="s">
        <v>341</v>
      </c>
      <c r="D204" s="23" t="s">
        <v>348</v>
      </c>
      <c r="E204" s="23" t="s">
        <v>353</v>
      </c>
      <c r="F204" s="23" t="s">
        <v>358</v>
      </c>
      <c r="G204" s="23" t="s">
        <v>363</v>
      </c>
      <c r="H204" s="23">
        <v>177</v>
      </c>
      <c r="I204" s="25">
        <v>6512</v>
      </c>
      <c r="J204" s="25">
        <v>437</v>
      </c>
      <c r="K204" s="25">
        <v>1152624</v>
      </c>
      <c r="L204" s="25">
        <v>379134</v>
      </c>
      <c r="M204" s="23" t="s">
        <v>374</v>
      </c>
      <c r="N204" s="23" t="s">
        <v>412</v>
      </c>
    </row>
    <row r="205" spans="1:14" x14ac:dyDescent="0.35">
      <c r="A205" s="23" t="s">
        <v>467</v>
      </c>
      <c r="B205" s="24">
        <v>45522</v>
      </c>
      <c r="C205" s="23" t="s">
        <v>338</v>
      </c>
      <c r="D205" s="23" t="s">
        <v>346</v>
      </c>
      <c r="E205" s="23" t="s">
        <v>354</v>
      </c>
      <c r="F205" s="23" t="s">
        <v>360</v>
      </c>
      <c r="G205" s="23" t="s">
        <v>363</v>
      </c>
      <c r="H205" s="23">
        <v>115</v>
      </c>
      <c r="I205" s="25">
        <v>1484</v>
      </c>
      <c r="J205" s="25">
        <v>1463</v>
      </c>
      <c r="K205" s="25">
        <v>17246</v>
      </c>
      <c r="L205" s="25">
        <v>1534215</v>
      </c>
      <c r="M205" s="23" t="s">
        <v>371</v>
      </c>
      <c r="N205" s="23" t="s">
        <v>415</v>
      </c>
    </row>
    <row r="206" spans="1:14" x14ac:dyDescent="0.35">
      <c r="A206" s="23" t="s">
        <v>155</v>
      </c>
      <c r="B206" s="24">
        <v>45607</v>
      </c>
      <c r="C206" s="23" t="s">
        <v>343</v>
      </c>
      <c r="D206" s="23" t="s">
        <v>348</v>
      </c>
      <c r="E206" s="23" t="s">
        <v>351</v>
      </c>
      <c r="F206" s="23" t="s">
        <v>358</v>
      </c>
      <c r="G206" s="23" t="s">
        <v>362</v>
      </c>
      <c r="H206" s="23">
        <v>19</v>
      </c>
      <c r="I206" s="25">
        <v>666</v>
      </c>
      <c r="J206" s="25">
        <v>1486</v>
      </c>
      <c r="K206" s="25">
        <v>115254</v>
      </c>
      <c r="L206" s="25">
        <v>872</v>
      </c>
      <c r="M206" s="23" t="s">
        <v>373</v>
      </c>
      <c r="N206" s="23" t="s">
        <v>416</v>
      </c>
    </row>
    <row r="207" spans="1:14" x14ac:dyDescent="0.35">
      <c r="A207" s="23" t="s">
        <v>156</v>
      </c>
      <c r="B207" s="24">
        <v>45625</v>
      </c>
      <c r="C207" s="23" t="s">
        <v>343</v>
      </c>
      <c r="D207" s="23" t="s">
        <v>350</v>
      </c>
      <c r="E207" s="23" t="s">
        <v>354</v>
      </c>
      <c r="F207" s="23" t="s">
        <v>355</v>
      </c>
      <c r="G207" s="23" t="s">
        <v>362</v>
      </c>
      <c r="H207" s="23">
        <v>53</v>
      </c>
      <c r="I207" s="25">
        <v>986</v>
      </c>
      <c r="J207" s="25">
        <v>314</v>
      </c>
      <c r="K207" s="25">
        <v>52258</v>
      </c>
      <c r="L207" s="25">
        <v>35616</v>
      </c>
      <c r="M207" s="23" t="s">
        <v>373</v>
      </c>
      <c r="N207" s="23" t="s">
        <v>416</v>
      </c>
    </row>
    <row r="208" spans="1:14" x14ac:dyDescent="0.35">
      <c r="A208" s="23" t="s">
        <v>157</v>
      </c>
      <c r="B208" s="24">
        <v>45537</v>
      </c>
      <c r="C208" s="23" t="s">
        <v>345</v>
      </c>
      <c r="D208" s="23" t="s">
        <v>350</v>
      </c>
      <c r="E208" s="23" t="s">
        <v>351</v>
      </c>
      <c r="F208" s="23" t="s">
        <v>361</v>
      </c>
      <c r="G208" s="23" t="s">
        <v>362</v>
      </c>
      <c r="H208" s="23">
        <v>288</v>
      </c>
      <c r="I208" s="25">
        <v>2125</v>
      </c>
      <c r="J208" s="25">
        <v>7842</v>
      </c>
      <c r="K208" s="25">
        <v>612</v>
      </c>
      <c r="L208" s="25">
        <v>1646496</v>
      </c>
      <c r="M208" s="23" t="s">
        <v>367</v>
      </c>
      <c r="N208" s="23" t="s">
        <v>415</v>
      </c>
    </row>
    <row r="209" spans="1:14" x14ac:dyDescent="0.35">
      <c r="A209" s="23" t="s">
        <v>468</v>
      </c>
      <c r="B209" s="24">
        <v>45303</v>
      </c>
      <c r="C209" s="23" t="s">
        <v>343</v>
      </c>
      <c r="D209" s="23" t="s">
        <v>346</v>
      </c>
      <c r="E209" s="23" t="s">
        <v>353</v>
      </c>
      <c r="F209" s="23" t="s">
        <v>359</v>
      </c>
      <c r="G209" s="23" t="s">
        <v>362</v>
      </c>
      <c r="H209" s="23">
        <v>151</v>
      </c>
      <c r="I209" s="25">
        <v>5927</v>
      </c>
      <c r="J209" s="25">
        <v>6584</v>
      </c>
      <c r="K209" s="25">
        <v>894977</v>
      </c>
      <c r="L209" s="25">
        <v>9927</v>
      </c>
      <c r="M209" s="23" t="s">
        <v>366</v>
      </c>
      <c r="N209" s="23" t="s">
        <v>414</v>
      </c>
    </row>
    <row r="210" spans="1:14" x14ac:dyDescent="0.35">
      <c r="A210" s="23" t="s">
        <v>469</v>
      </c>
      <c r="B210" s="24">
        <v>45301</v>
      </c>
      <c r="C210" s="23" t="s">
        <v>341</v>
      </c>
      <c r="D210" s="23" t="s">
        <v>348</v>
      </c>
      <c r="E210" s="23" t="s">
        <v>352</v>
      </c>
      <c r="F210" s="23" t="s">
        <v>357</v>
      </c>
      <c r="G210" s="23" t="s">
        <v>363</v>
      </c>
      <c r="H210" s="23">
        <v>87</v>
      </c>
      <c r="I210" s="25">
        <v>173</v>
      </c>
      <c r="J210" s="25">
        <v>2886</v>
      </c>
      <c r="K210" s="25">
        <v>1551</v>
      </c>
      <c r="L210" s="25">
        <v>1572</v>
      </c>
      <c r="M210" s="23" t="s">
        <v>366</v>
      </c>
      <c r="N210" s="23" t="s">
        <v>414</v>
      </c>
    </row>
    <row r="211" spans="1:14" x14ac:dyDescent="0.35">
      <c r="A211" s="23" t="s">
        <v>158</v>
      </c>
      <c r="B211" s="24">
        <v>45526</v>
      </c>
      <c r="C211" s="23" t="s">
        <v>338</v>
      </c>
      <c r="D211" s="23" t="s">
        <v>350</v>
      </c>
      <c r="E211" s="23" t="s">
        <v>351</v>
      </c>
      <c r="F211" s="23" t="s">
        <v>355</v>
      </c>
      <c r="G211" s="23" t="s">
        <v>362</v>
      </c>
      <c r="H211" s="23">
        <v>253</v>
      </c>
      <c r="I211" s="25">
        <v>2716</v>
      </c>
      <c r="J211" s="25">
        <v>8216</v>
      </c>
      <c r="K211" s="25">
        <v>687148</v>
      </c>
      <c r="L211" s="25">
        <v>13915</v>
      </c>
      <c r="M211" s="23" t="s">
        <v>371</v>
      </c>
      <c r="N211" s="23" t="s">
        <v>415</v>
      </c>
    </row>
    <row r="212" spans="1:14" x14ac:dyDescent="0.35">
      <c r="A212" s="23" t="s">
        <v>159</v>
      </c>
      <c r="B212" s="24">
        <v>45681</v>
      </c>
      <c r="C212" s="23" t="s">
        <v>338</v>
      </c>
      <c r="D212" s="23" t="s">
        <v>346</v>
      </c>
      <c r="E212" s="23" t="s">
        <v>353</v>
      </c>
      <c r="F212" s="23" t="s">
        <v>359</v>
      </c>
      <c r="G212" s="23" t="s">
        <v>362</v>
      </c>
      <c r="H212" s="23">
        <v>217</v>
      </c>
      <c r="I212" s="25">
        <v>12141</v>
      </c>
      <c r="J212" s="25">
        <v>2622</v>
      </c>
      <c r="K212" s="25">
        <v>2634597</v>
      </c>
      <c r="L212" s="25">
        <v>265623</v>
      </c>
      <c r="M212" s="23" t="s">
        <v>366</v>
      </c>
      <c r="N212" s="23" t="s">
        <v>412</v>
      </c>
    </row>
    <row r="213" spans="1:14" x14ac:dyDescent="0.35">
      <c r="A213" s="23" t="s">
        <v>160</v>
      </c>
      <c r="B213" s="24">
        <v>45550</v>
      </c>
      <c r="C213" s="23" t="s">
        <v>341</v>
      </c>
      <c r="D213" s="23" t="s">
        <v>348</v>
      </c>
      <c r="E213" s="23" t="s">
        <v>351</v>
      </c>
      <c r="F213" s="23" t="s">
        <v>359</v>
      </c>
      <c r="G213" s="23" t="s">
        <v>363</v>
      </c>
      <c r="H213" s="23">
        <v>263</v>
      </c>
      <c r="I213" s="25">
        <v>3212</v>
      </c>
      <c r="J213" s="25">
        <v>714</v>
      </c>
      <c r="K213" s="25">
        <v>844756</v>
      </c>
      <c r="L213" s="25">
        <v>534717</v>
      </c>
      <c r="M213" s="23" t="s">
        <v>367</v>
      </c>
      <c r="N213" s="23" t="s">
        <v>415</v>
      </c>
    </row>
    <row r="214" spans="1:14" x14ac:dyDescent="0.35">
      <c r="A214" s="23" t="s">
        <v>161</v>
      </c>
      <c r="B214" s="24">
        <v>45740</v>
      </c>
      <c r="C214" s="23" t="s">
        <v>338</v>
      </c>
      <c r="D214" s="23" t="s">
        <v>346</v>
      </c>
      <c r="E214" s="23" t="s">
        <v>352</v>
      </c>
      <c r="F214" s="23" t="s">
        <v>356</v>
      </c>
      <c r="G214" s="23" t="s">
        <v>363</v>
      </c>
      <c r="H214" s="23">
        <v>35</v>
      </c>
      <c r="I214" s="25">
        <v>3719</v>
      </c>
      <c r="J214" s="25">
        <v>611</v>
      </c>
      <c r="K214" s="25">
        <v>13165</v>
      </c>
      <c r="L214" s="25">
        <v>45891</v>
      </c>
      <c r="M214" s="23" t="s">
        <v>364</v>
      </c>
      <c r="N214" s="23" t="s">
        <v>412</v>
      </c>
    </row>
    <row r="215" spans="1:14" x14ac:dyDescent="0.35">
      <c r="A215" s="23" t="s">
        <v>162</v>
      </c>
      <c r="B215" s="24">
        <v>45646</v>
      </c>
      <c r="C215" s="23" t="s">
        <v>340</v>
      </c>
      <c r="D215" s="23" t="s">
        <v>350</v>
      </c>
      <c r="E215" s="23" t="s">
        <v>354</v>
      </c>
      <c r="F215" s="23" t="s">
        <v>355</v>
      </c>
      <c r="G215" s="23" t="s">
        <v>362</v>
      </c>
      <c r="H215" s="23">
        <v>57</v>
      </c>
      <c r="I215" s="25">
        <v>13673</v>
      </c>
      <c r="J215" s="25">
        <v>5274</v>
      </c>
      <c r="K215" s="25">
        <v>779361</v>
      </c>
      <c r="L215" s="25">
        <v>478743</v>
      </c>
      <c r="M215" s="23" t="s">
        <v>375</v>
      </c>
      <c r="N215" s="23" t="s">
        <v>416</v>
      </c>
    </row>
    <row r="216" spans="1:14" x14ac:dyDescent="0.35">
      <c r="A216" s="23" t="s">
        <v>163</v>
      </c>
      <c r="B216" s="24">
        <v>45487</v>
      </c>
      <c r="C216" s="23" t="s">
        <v>338</v>
      </c>
      <c r="D216" s="23" t="s">
        <v>346</v>
      </c>
      <c r="E216" s="23" t="s">
        <v>354</v>
      </c>
      <c r="F216" s="23" t="s">
        <v>360</v>
      </c>
      <c r="G216" s="23" t="s">
        <v>363</v>
      </c>
      <c r="H216" s="23">
        <v>123</v>
      </c>
      <c r="I216" s="25">
        <v>727</v>
      </c>
      <c r="J216" s="25">
        <v>152</v>
      </c>
      <c r="K216" s="25">
        <v>886461</v>
      </c>
      <c r="L216" s="25">
        <v>75765</v>
      </c>
      <c r="M216" s="23" t="s">
        <v>372</v>
      </c>
      <c r="N216" s="23" t="s">
        <v>415</v>
      </c>
    </row>
    <row r="217" spans="1:14" x14ac:dyDescent="0.35">
      <c r="A217" s="23" t="s">
        <v>164</v>
      </c>
      <c r="B217" s="24">
        <v>45548</v>
      </c>
      <c r="C217" s="23" t="s">
        <v>345</v>
      </c>
      <c r="D217" s="23" t="s">
        <v>346</v>
      </c>
      <c r="E217" s="23" t="s">
        <v>352</v>
      </c>
      <c r="F217" s="23" t="s">
        <v>356</v>
      </c>
      <c r="G217" s="23" t="s">
        <v>362</v>
      </c>
      <c r="H217" s="23">
        <v>229</v>
      </c>
      <c r="I217" s="25">
        <v>456</v>
      </c>
      <c r="J217" s="25">
        <v>865</v>
      </c>
      <c r="K217" s="25">
        <v>921874</v>
      </c>
      <c r="L217" s="25">
        <v>846155</v>
      </c>
      <c r="M217" s="23" t="s">
        <v>367</v>
      </c>
      <c r="N217" s="23" t="s">
        <v>415</v>
      </c>
    </row>
    <row r="218" spans="1:14" x14ac:dyDescent="0.35">
      <c r="A218" s="23" t="s">
        <v>165</v>
      </c>
      <c r="B218" s="24">
        <v>45555</v>
      </c>
      <c r="C218" s="23" t="s">
        <v>341</v>
      </c>
      <c r="D218" s="23" t="s">
        <v>346</v>
      </c>
      <c r="E218" s="23" t="s">
        <v>351</v>
      </c>
      <c r="F218" s="23" t="s">
        <v>358</v>
      </c>
      <c r="G218" s="23" t="s">
        <v>363</v>
      </c>
      <c r="H218" s="23">
        <v>285</v>
      </c>
      <c r="I218" s="25">
        <v>2165</v>
      </c>
      <c r="J218" s="25">
        <v>648</v>
      </c>
      <c r="K218" s="25">
        <v>61725</v>
      </c>
      <c r="L218" s="25">
        <v>432345</v>
      </c>
      <c r="M218" s="23" t="s">
        <v>367</v>
      </c>
      <c r="N218" s="23" t="s">
        <v>415</v>
      </c>
    </row>
    <row r="219" spans="1:14" x14ac:dyDescent="0.35">
      <c r="A219" s="23" t="s">
        <v>423</v>
      </c>
      <c r="B219" s="24">
        <v>45593</v>
      </c>
      <c r="C219" s="23" t="s">
        <v>343</v>
      </c>
      <c r="D219" s="23" t="s">
        <v>350</v>
      </c>
      <c r="E219" s="23" t="s">
        <v>353</v>
      </c>
      <c r="F219" s="23" t="s">
        <v>357</v>
      </c>
      <c r="G219" s="23" t="s">
        <v>362</v>
      </c>
      <c r="H219" s="23">
        <v>126</v>
      </c>
      <c r="I219" s="25">
        <v>1145</v>
      </c>
      <c r="J219" s="25">
        <v>2288</v>
      </c>
      <c r="K219" s="25">
        <v>127827</v>
      </c>
      <c r="L219" s="25">
        <v>989982</v>
      </c>
      <c r="M219" s="23" t="s">
        <v>369</v>
      </c>
      <c r="N219" s="23" t="s">
        <v>416</v>
      </c>
    </row>
    <row r="220" spans="1:14" x14ac:dyDescent="0.35">
      <c r="A220" s="23" t="s">
        <v>166</v>
      </c>
      <c r="B220" s="24">
        <v>45643</v>
      </c>
      <c r="C220" s="23" t="s">
        <v>344</v>
      </c>
      <c r="D220" s="23" t="s">
        <v>348</v>
      </c>
      <c r="E220" s="23" t="s">
        <v>354</v>
      </c>
      <c r="F220" s="23" t="s">
        <v>360</v>
      </c>
      <c r="G220" s="23" t="s">
        <v>363</v>
      </c>
      <c r="H220" s="23">
        <v>119</v>
      </c>
      <c r="I220" s="25">
        <v>4151</v>
      </c>
      <c r="J220" s="25">
        <v>5685</v>
      </c>
      <c r="K220" s="25">
        <v>493969</v>
      </c>
      <c r="L220" s="25">
        <v>182546</v>
      </c>
      <c r="M220" s="23" t="s">
        <v>375</v>
      </c>
      <c r="N220" s="23" t="s">
        <v>416</v>
      </c>
    </row>
    <row r="221" spans="1:14" x14ac:dyDescent="0.35">
      <c r="A221" s="23" t="s">
        <v>167</v>
      </c>
      <c r="B221" s="24">
        <v>45478</v>
      </c>
      <c r="C221" s="23" t="s">
        <v>338</v>
      </c>
      <c r="D221" s="23" t="s">
        <v>348</v>
      </c>
      <c r="E221" s="23" t="s">
        <v>354</v>
      </c>
      <c r="F221" s="23" t="s">
        <v>356</v>
      </c>
      <c r="G221" s="23" t="s">
        <v>362</v>
      </c>
      <c r="H221" s="23">
        <v>254</v>
      </c>
      <c r="I221" s="25">
        <v>4515</v>
      </c>
      <c r="J221" s="25">
        <v>8799</v>
      </c>
      <c r="K221" s="25">
        <v>114681</v>
      </c>
      <c r="L221" s="25">
        <v>188136</v>
      </c>
      <c r="M221" s="23" t="s">
        <v>372</v>
      </c>
      <c r="N221" s="23" t="s">
        <v>415</v>
      </c>
    </row>
    <row r="222" spans="1:14" x14ac:dyDescent="0.35">
      <c r="A222" s="23" t="s">
        <v>168</v>
      </c>
      <c r="B222" s="24">
        <v>45660</v>
      </c>
      <c r="C222" s="23" t="s">
        <v>339</v>
      </c>
      <c r="D222" s="23" t="s">
        <v>348</v>
      </c>
      <c r="E222" s="23" t="s">
        <v>353</v>
      </c>
      <c r="F222" s="23" t="s">
        <v>361</v>
      </c>
      <c r="G222" s="23" t="s">
        <v>363</v>
      </c>
      <c r="H222" s="23">
        <v>47</v>
      </c>
      <c r="I222" s="25">
        <v>13876</v>
      </c>
      <c r="J222" s="25">
        <v>7123</v>
      </c>
      <c r="K222" s="25">
        <v>652172</v>
      </c>
      <c r="L222" s="25">
        <v>317391</v>
      </c>
      <c r="M222" s="23" t="s">
        <v>366</v>
      </c>
      <c r="N222" s="23" t="s">
        <v>412</v>
      </c>
    </row>
    <row r="223" spans="1:14" x14ac:dyDescent="0.35">
      <c r="A223" s="23" t="s">
        <v>169</v>
      </c>
      <c r="B223" s="24">
        <v>45486</v>
      </c>
      <c r="C223" s="23" t="s">
        <v>340</v>
      </c>
      <c r="D223" s="23" t="s">
        <v>348</v>
      </c>
      <c r="E223" s="23" t="s">
        <v>353</v>
      </c>
      <c r="F223" s="23" t="s">
        <v>361</v>
      </c>
      <c r="G223" s="23" t="s">
        <v>363</v>
      </c>
      <c r="H223" s="23">
        <v>2</v>
      </c>
      <c r="I223" s="25">
        <v>5849</v>
      </c>
      <c r="J223" s="25">
        <v>5598</v>
      </c>
      <c r="K223" s="25">
        <v>11698</v>
      </c>
      <c r="L223" s="25">
        <v>45779</v>
      </c>
      <c r="M223" s="23" t="s">
        <v>372</v>
      </c>
      <c r="N223" s="23" t="s">
        <v>415</v>
      </c>
    </row>
    <row r="224" spans="1:14" x14ac:dyDescent="0.35">
      <c r="A224" s="23" t="s">
        <v>430</v>
      </c>
      <c r="B224" s="24">
        <v>45672</v>
      </c>
      <c r="C224" s="23" t="s">
        <v>341</v>
      </c>
      <c r="D224" s="23" t="s">
        <v>350</v>
      </c>
      <c r="E224" s="23" t="s">
        <v>352</v>
      </c>
      <c r="F224" s="23" t="s">
        <v>358</v>
      </c>
      <c r="G224" s="23" t="s">
        <v>362</v>
      </c>
      <c r="H224" s="23">
        <v>85</v>
      </c>
      <c r="I224" s="25">
        <v>12664</v>
      </c>
      <c r="J224" s="25">
        <v>8969</v>
      </c>
      <c r="K224" s="25">
        <v>2097955</v>
      </c>
      <c r="L224" s="25">
        <v>31475</v>
      </c>
      <c r="M224" s="23" t="s">
        <v>366</v>
      </c>
      <c r="N224" s="23" t="s">
        <v>412</v>
      </c>
    </row>
    <row r="225" spans="1:14" x14ac:dyDescent="0.35">
      <c r="A225" s="23" t="s">
        <v>170</v>
      </c>
      <c r="B225" s="24">
        <v>45516</v>
      </c>
      <c r="C225" s="23" t="s">
        <v>338</v>
      </c>
      <c r="D225" s="23" t="s">
        <v>348</v>
      </c>
      <c r="E225" s="23" t="s">
        <v>354</v>
      </c>
      <c r="F225" s="23" t="s">
        <v>355</v>
      </c>
      <c r="G225" s="23" t="s">
        <v>363</v>
      </c>
      <c r="H225" s="23">
        <v>7</v>
      </c>
      <c r="I225" s="25">
        <v>235</v>
      </c>
      <c r="J225" s="25">
        <v>7577</v>
      </c>
      <c r="K225" s="25">
        <v>48645</v>
      </c>
      <c r="L225" s="25">
        <v>181989</v>
      </c>
      <c r="M225" s="23" t="s">
        <v>371</v>
      </c>
      <c r="N225" s="23" t="s">
        <v>415</v>
      </c>
    </row>
    <row r="226" spans="1:14" x14ac:dyDescent="0.35">
      <c r="A226" s="23" t="s">
        <v>470</v>
      </c>
      <c r="B226" s="24">
        <v>45662</v>
      </c>
      <c r="C226" s="23" t="s">
        <v>343</v>
      </c>
      <c r="D226" s="23" t="s">
        <v>348</v>
      </c>
      <c r="E226" s="23" t="s">
        <v>352</v>
      </c>
      <c r="F226" s="23" t="s">
        <v>355</v>
      </c>
      <c r="G226" s="23" t="s">
        <v>362</v>
      </c>
      <c r="H226" s="23">
        <v>236</v>
      </c>
      <c r="I226" s="25">
        <v>2712</v>
      </c>
      <c r="J226" s="25">
        <v>9375</v>
      </c>
      <c r="K226" s="25">
        <v>6432</v>
      </c>
      <c r="L226" s="25">
        <v>1572468</v>
      </c>
      <c r="M226" s="23" t="s">
        <v>366</v>
      </c>
      <c r="N226" s="23" t="s">
        <v>412</v>
      </c>
    </row>
    <row r="227" spans="1:14" x14ac:dyDescent="0.35">
      <c r="A227" s="23" t="s">
        <v>461</v>
      </c>
      <c r="B227" s="24">
        <v>45318</v>
      </c>
      <c r="C227" s="23" t="s">
        <v>338</v>
      </c>
      <c r="D227" s="23" t="s">
        <v>348</v>
      </c>
      <c r="E227" s="23" t="s">
        <v>351</v>
      </c>
      <c r="F227" s="23" t="s">
        <v>355</v>
      </c>
      <c r="G227" s="23" t="s">
        <v>363</v>
      </c>
      <c r="H227" s="23">
        <v>27</v>
      </c>
      <c r="I227" s="25">
        <v>7296</v>
      </c>
      <c r="J227" s="25">
        <v>66</v>
      </c>
      <c r="K227" s="25">
        <v>196992</v>
      </c>
      <c r="L227" s="25">
        <v>179172</v>
      </c>
      <c r="M227" s="23" t="s">
        <v>366</v>
      </c>
      <c r="N227" s="23" t="s">
        <v>414</v>
      </c>
    </row>
    <row r="228" spans="1:14" x14ac:dyDescent="0.35">
      <c r="A228" s="23" t="s">
        <v>461</v>
      </c>
      <c r="B228" s="24">
        <v>45498</v>
      </c>
      <c r="C228" s="23" t="s">
        <v>343</v>
      </c>
      <c r="D228" s="23" t="s">
        <v>346</v>
      </c>
      <c r="E228" s="23" t="s">
        <v>352</v>
      </c>
      <c r="F228" s="23" t="s">
        <v>357</v>
      </c>
      <c r="G228" s="23" t="s">
        <v>362</v>
      </c>
      <c r="H228" s="23">
        <v>266</v>
      </c>
      <c r="I228" s="25">
        <v>416</v>
      </c>
      <c r="J228" s="25">
        <v>552</v>
      </c>
      <c r="K228" s="25">
        <v>168256</v>
      </c>
      <c r="L228" s="25">
        <v>275576</v>
      </c>
      <c r="M228" s="23" t="s">
        <v>372</v>
      </c>
      <c r="N228" s="23" t="s">
        <v>415</v>
      </c>
    </row>
    <row r="229" spans="1:14" x14ac:dyDescent="0.35">
      <c r="A229" s="23" t="s">
        <v>171</v>
      </c>
      <c r="B229" s="24">
        <v>45425</v>
      </c>
      <c r="C229" s="23" t="s">
        <v>345</v>
      </c>
      <c r="D229" s="23" t="s">
        <v>348</v>
      </c>
      <c r="E229" s="23" t="s">
        <v>352</v>
      </c>
      <c r="F229" s="23" t="s">
        <v>359</v>
      </c>
      <c r="G229" s="23" t="s">
        <v>362</v>
      </c>
      <c r="H229" s="23">
        <v>133</v>
      </c>
      <c r="I229" s="25">
        <v>5584</v>
      </c>
      <c r="J229" s="25">
        <v>4329</v>
      </c>
      <c r="K229" s="25">
        <v>742672</v>
      </c>
      <c r="L229" s="25">
        <v>166915</v>
      </c>
      <c r="M229" s="23" t="s">
        <v>368</v>
      </c>
      <c r="N229" s="23" t="s">
        <v>413</v>
      </c>
    </row>
    <row r="230" spans="1:14" x14ac:dyDescent="0.35">
      <c r="A230" s="23" t="s">
        <v>471</v>
      </c>
      <c r="B230" s="24">
        <v>45358</v>
      </c>
      <c r="C230" s="23" t="s">
        <v>338</v>
      </c>
      <c r="D230" s="23" t="s">
        <v>348</v>
      </c>
      <c r="E230" s="23" t="s">
        <v>352</v>
      </c>
      <c r="F230" s="23" t="s">
        <v>358</v>
      </c>
      <c r="G230" s="23" t="s">
        <v>363</v>
      </c>
      <c r="H230" s="23">
        <v>52</v>
      </c>
      <c r="I230" s="25">
        <v>1627</v>
      </c>
      <c r="J230" s="25">
        <v>1541</v>
      </c>
      <c r="K230" s="25">
        <v>8464</v>
      </c>
      <c r="L230" s="25">
        <v>4471</v>
      </c>
      <c r="M230" s="23" t="s">
        <v>364</v>
      </c>
      <c r="N230" s="23" t="s">
        <v>414</v>
      </c>
    </row>
    <row r="231" spans="1:14" x14ac:dyDescent="0.35">
      <c r="A231" s="23" t="s">
        <v>172</v>
      </c>
      <c r="B231" s="24">
        <v>45441</v>
      </c>
      <c r="C231" s="23" t="s">
        <v>342</v>
      </c>
      <c r="D231" s="23" t="s">
        <v>346</v>
      </c>
      <c r="E231" s="23" t="s">
        <v>353</v>
      </c>
      <c r="F231" s="23" t="s">
        <v>358</v>
      </c>
      <c r="G231" s="23" t="s">
        <v>363</v>
      </c>
      <c r="H231" s="23">
        <v>136</v>
      </c>
      <c r="I231" s="25">
        <v>7157</v>
      </c>
      <c r="J231" s="25">
        <v>796</v>
      </c>
      <c r="K231" s="25">
        <v>973352</v>
      </c>
      <c r="L231" s="25">
        <v>11864</v>
      </c>
      <c r="M231" s="23" t="s">
        <v>368</v>
      </c>
      <c r="N231" s="23" t="s">
        <v>413</v>
      </c>
    </row>
    <row r="232" spans="1:14" x14ac:dyDescent="0.35">
      <c r="A232" s="23" t="s">
        <v>453</v>
      </c>
      <c r="B232" s="24">
        <v>45325</v>
      </c>
      <c r="C232" s="23" t="s">
        <v>341</v>
      </c>
      <c r="D232" s="23" t="s">
        <v>381</v>
      </c>
      <c r="E232" s="23" t="s">
        <v>353</v>
      </c>
      <c r="F232" s="23" t="s">
        <v>358</v>
      </c>
      <c r="G232" s="23" t="s">
        <v>363</v>
      </c>
      <c r="H232" s="23">
        <v>134</v>
      </c>
      <c r="I232" s="25">
        <v>14452</v>
      </c>
      <c r="J232" s="25">
        <v>329</v>
      </c>
      <c r="K232" s="25">
        <v>1936568</v>
      </c>
      <c r="L232" s="25">
        <v>153682</v>
      </c>
      <c r="M232" s="23" t="s">
        <v>374</v>
      </c>
      <c r="N232" s="23" t="s">
        <v>414</v>
      </c>
    </row>
    <row r="233" spans="1:14" x14ac:dyDescent="0.35">
      <c r="A233" s="23" t="s">
        <v>173</v>
      </c>
      <c r="B233" s="24">
        <v>45707</v>
      </c>
      <c r="C233" s="23" t="s">
        <v>340</v>
      </c>
      <c r="D233" s="23" t="s">
        <v>350</v>
      </c>
      <c r="E233" s="23" t="s">
        <v>352</v>
      </c>
      <c r="F233" s="23" t="s">
        <v>360</v>
      </c>
      <c r="G233" s="23" t="s">
        <v>362</v>
      </c>
      <c r="H233" s="23">
        <v>162</v>
      </c>
      <c r="I233" s="25">
        <v>1738</v>
      </c>
      <c r="J233" s="25">
        <v>359</v>
      </c>
      <c r="K233" s="25">
        <v>281556</v>
      </c>
      <c r="L233" s="25">
        <v>324</v>
      </c>
      <c r="M233" s="23" t="s">
        <v>374</v>
      </c>
      <c r="N233" s="23" t="s">
        <v>412</v>
      </c>
    </row>
    <row r="234" spans="1:14" x14ac:dyDescent="0.35">
      <c r="A234" s="23" t="s">
        <v>174</v>
      </c>
      <c r="B234" s="24">
        <v>45449</v>
      </c>
      <c r="C234" s="23" t="s">
        <v>345</v>
      </c>
      <c r="D234" s="23" t="s">
        <v>350</v>
      </c>
      <c r="E234" s="23" t="s">
        <v>352</v>
      </c>
      <c r="F234" s="23" t="s">
        <v>359</v>
      </c>
      <c r="G234" s="23" t="s">
        <v>362</v>
      </c>
      <c r="H234" s="23">
        <v>232</v>
      </c>
      <c r="I234" s="25">
        <v>2357</v>
      </c>
      <c r="J234" s="25">
        <v>9913</v>
      </c>
      <c r="K234" s="25">
        <v>546824</v>
      </c>
      <c r="L234" s="25">
        <v>1752992</v>
      </c>
      <c r="M234" s="23" t="s">
        <v>370</v>
      </c>
      <c r="N234" s="23" t="s">
        <v>413</v>
      </c>
    </row>
    <row r="235" spans="1:14" x14ac:dyDescent="0.35">
      <c r="A235" s="23" t="s">
        <v>472</v>
      </c>
      <c r="B235" s="24">
        <v>45357</v>
      </c>
      <c r="C235" s="23" t="s">
        <v>345</v>
      </c>
      <c r="D235" s="23" t="s">
        <v>346</v>
      </c>
      <c r="E235" s="23" t="s">
        <v>353</v>
      </c>
      <c r="F235" s="23" t="s">
        <v>357</v>
      </c>
      <c r="G235" s="23" t="s">
        <v>362</v>
      </c>
      <c r="H235" s="23">
        <v>236</v>
      </c>
      <c r="I235" s="25">
        <v>8963</v>
      </c>
      <c r="J235" s="25">
        <v>919</v>
      </c>
      <c r="K235" s="25">
        <v>2115268</v>
      </c>
      <c r="L235" s="25">
        <v>535721</v>
      </c>
      <c r="M235" s="23" t="s">
        <v>364</v>
      </c>
      <c r="N235" s="23" t="s">
        <v>414</v>
      </c>
    </row>
    <row r="236" spans="1:14" x14ac:dyDescent="0.35">
      <c r="A236" s="23" t="s">
        <v>175</v>
      </c>
      <c r="B236" s="24">
        <v>45689</v>
      </c>
      <c r="C236" s="23" t="s">
        <v>341</v>
      </c>
      <c r="D236" s="23" t="s">
        <v>346</v>
      </c>
      <c r="E236" s="23" t="s">
        <v>351</v>
      </c>
      <c r="F236" s="23" t="s">
        <v>358</v>
      </c>
      <c r="G236" s="23" t="s">
        <v>363</v>
      </c>
      <c r="H236" s="23">
        <v>9</v>
      </c>
      <c r="I236" s="25">
        <v>11194</v>
      </c>
      <c r="J236" s="25">
        <v>6655</v>
      </c>
      <c r="K236" s="25">
        <v>1746</v>
      </c>
      <c r="L236" s="25">
        <v>4851</v>
      </c>
      <c r="M236" s="23" t="s">
        <v>374</v>
      </c>
      <c r="N236" s="23" t="s">
        <v>412</v>
      </c>
    </row>
    <row r="237" spans="1:14" x14ac:dyDescent="0.35">
      <c r="A237" s="23" t="s">
        <v>176</v>
      </c>
      <c r="B237" s="24">
        <v>45518</v>
      </c>
      <c r="C237" s="23" t="s">
        <v>342</v>
      </c>
      <c r="D237" s="23" t="s">
        <v>346</v>
      </c>
      <c r="E237" s="23" t="s">
        <v>351</v>
      </c>
      <c r="F237" s="23" t="s">
        <v>358</v>
      </c>
      <c r="G237" s="23" t="s">
        <v>362</v>
      </c>
      <c r="H237" s="23">
        <v>151</v>
      </c>
      <c r="I237" s="25">
        <v>5765</v>
      </c>
      <c r="J237" s="25">
        <v>8833</v>
      </c>
      <c r="K237" s="25">
        <v>87515</v>
      </c>
      <c r="L237" s="25">
        <v>463268</v>
      </c>
      <c r="M237" s="23" t="s">
        <v>371</v>
      </c>
      <c r="N237" s="23" t="s">
        <v>415</v>
      </c>
    </row>
    <row r="238" spans="1:14" x14ac:dyDescent="0.35">
      <c r="A238" s="23" t="s">
        <v>177</v>
      </c>
      <c r="B238" s="24">
        <v>45679</v>
      </c>
      <c r="C238" s="23" t="s">
        <v>344</v>
      </c>
      <c r="D238" s="23" t="s">
        <v>346</v>
      </c>
      <c r="E238" s="23" t="s">
        <v>354</v>
      </c>
      <c r="F238" s="23" t="s">
        <v>360</v>
      </c>
      <c r="G238" s="23" t="s">
        <v>362</v>
      </c>
      <c r="H238" s="23">
        <v>237</v>
      </c>
      <c r="I238" s="25">
        <v>1294</v>
      </c>
      <c r="J238" s="25">
        <v>1</v>
      </c>
      <c r="K238" s="25">
        <v>1745190</v>
      </c>
      <c r="L238" s="25">
        <v>69678</v>
      </c>
      <c r="M238" s="23" t="s">
        <v>366</v>
      </c>
      <c r="N238" s="23" t="s">
        <v>412</v>
      </c>
    </row>
    <row r="239" spans="1:14" x14ac:dyDescent="0.35">
      <c r="A239" s="23" t="s">
        <v>178</v>
      </c>
      <c r="B239" s="24">
        <v>45733</v>
      </c>
      <c r="C239" s="23" t="s">
        <v>338</v>
      </c>
      <c r="D239" s="23" t="s">
        <v>350</v>
      </c>
      <c r="E239" s="23" t="s">
        <v>352</v>
      </c>
      <c r="F239" s="23" t="s">
        <v>361</v>
      </c>
      <c r="G239" s="23" t="s">
        <v>363</v>
      </c>
      <c r="H239" s="23">
        <v>276</v>
      </c>
      <c r="I239" s="25">
        <v>9838</v>
      </c>
      <c r="J239" s="25">
        <v>8573</v>
      </c>
      <c r="K239" s="25">
        <v>2715288</v>
      </c>
      <c r="L239" s="25">
        <v>34914</v>
      </c>
      <c r="M239" s="23" t="s">
        <v>364</v>
      </c>
      <c r="N239" s="23" t="s">
        <v>412</v>
      </c>
    </row>
    <row r="240" spans="1:14" x14ac:dyDescent="0.35">
      <c r="A240" s="23" t="s">
        <v>442</v>
      </c>
      <c r="B240" s="24">
        <v>45399</v>
      </c>
      <c r="C240" s="23" t="s">
        <v>339</v>
      </c>
      <c r="D240" s="23" t="s">
        <v>348</v>
      </c>
      <c r="E240" s="23" t="s">
        <v>351</v>
      </c>
      <c r="F240" s="23" t="s">
        <v>356</v>
      </c>
      <c r="G240" s="23" t="s">
        <v>362</v>
      </c>
      <c r="H240" s="26">
        <v>45694</v>
      </c>
      <c r="I240" s="25">
        <v>733</v>
      </c>
      <c r="J240" s="25">
        <v>84</v>
      </c>
      <c r="K240" s="25">
        <v>1448798</v>
      </c>
      <c r="L240" s="25">
        <v>1275758</v>
      </c>
      <c r="M240" s="23" t="s">
        <v>365</v>
      </c>
      <c r="N240" s="23" t="s">
        <v>413</v>
      </c>
    </row>
    <row r="241" spans="1:14" x14ac:dyDescent="0.35">
      <c r="A241" s="23" t="s">
        <v>473</v>
      </c>
      <c r="B241" s="24">
        <v>45582</v>
      </c>
      <c r="C241" s="23" t="s">
        <v>345</v>
      </c>
      <c r="D241" s="23" t="s">
        <v>348</v>
      </c>
      <c r="E241" s="23" t="s">
        <v>352</v>
      </c>
      <c r="F241" s="23" t="s">
        <v>360</v>
      </c>
      <c r="G241" s="23" t="s">
        <v>362</v>
      </c>
      <c r="H241" s="23">
        <v>127</v>
      </c>
      <c r="I241" s="25">
        <v>3128</v>
      </c>
      <c r="J241" s="25">
        <v>168</v>
      </c>
      <c r="K241" s="25">
        <v>397256</v>
      </c>
      <c r="L241" s="25">
        <v>183896</v>
      </c>
      <c r="M241" s="23" t="s">
        <v>369</v>
      </c>
      <c r="N241" s="23" t="s">
        <v>416</v>
      </c>
    </row>
    <row r="242" spans="1:14" x14ac:dyDescent="0.35">
      <c r="A242" s="23" t="s">
        <v>179</v>
      </c>
      <c r="B242" s="24">
        <v>45549</v>
      </c>
      <c r="C242" s="23" t="s">
        <v>342</v>
      </c>
      <c r="D242" s="23" t="s">
        <v>348</v>
      </c>
      <c r="E242" s="23" t="s">
        <v>353</v>
      </c>
      <c r="F242" s="23" t="s">
        <v>357</v>
      </c>
      <c r="G242" s="23" t="s">
        <v>362</v>
      </c>
      <c r="H242" s="23">
        <v>5</v>
      </c>
      <c r="I242" s="25">
        <v>11658</v>
      </c>
      <c r="J242" s="25">
        <v>3149</v>
      </c>
      <c r="K242" s="25">
        <v>5829</v>
      </c>
      <c r="L242" s="25">
        <v>42545</v>
      </c>
      <c r="M242" s="23" t="s">
        <v>367</v>
      </c>
      <c r="N242" s="23" t="s">
        <v>415</v>
      </c>
    </row>
    <row r="243" spans="1:14" x14ac:dyDescent="0.35">
      <c r="A243" s="23" t="s">
        <v>454</v>
      </c>
      <c r="B243" s="24">
        <v>45311</v>
      </c>
      <c r="C243" s="23" t="s">
        <v>342</v>
      </c>
      <c r="D243" s="23" t="s">
        <v>346</v>
      </c>
      <c r="E243" s="23" t="s">
        <v>353</v>
      </c>
      <c r="F243" s="23" t="s">
        <v>357</v>
      </c>
      <c r="G243" s="23" t="s">
        <v>362</v>
      </c>
      <c r="H243" s="23">
        <v>0</v>
      </c>
      <c r="I243" s="25">
        <v>11769</v>
      </c>
      <c r="J243" s="25">
        <v>685</v>
      </c>
      <c r="K243" s="25">
        <v>247149</v>
      </c>
      <c r="L243" s="25">
        <v>119364</v>
      </c>
      <c r="M243" s="23" t="s">
        <v>366</v>
      </c>
      <c r="N243" s="23" t="s">
        <v>414</v>
      </c>
    </row>
    <row r="244" spans="1:14" x14ac:dyDescent="0.35">
      <c r="A244" s="23" t="s">
        <v>180</v>
      </c>
      <c r="B244" s="24">
        <v>45521</v>
      </c>
      <c r="C244" s="23" t="s">
        <v>341</v>
      </c>
      <c r="D244" s="23" t="s">
        <v>346</v>
      </c>
      <c r="E244" s="23" t="s">
        <v>352</v>
      </c>
      <c r="F244" s="23" t="s">
        <v>356</v>
      </c>
      <c r="G244" s="23" t="s">
        <v>362</v>
      </c>
      <c r="H244" s="23">
        <v>16</v>
      </c>
      <c r="I244" s="25">
        <v>5663</v>
      </c>
      <c r="J244" s="25">
        <v>8293</v>
      </c>
      <c r="K244" s="25">
        <v>25082</v>
      </c>
      <c r="L244" s="25">
        <v>428</v>
      </c>
      <c r="M244" s="23" t="s">
        <v>371</v>
      </c>
      <c r="N244" s="23" t="s">
        <v>415</v>
      </c>
    </row>
    <row r="245" spans="1:14" x14ac:dyDescent="0.35">
      <c r="A245" s="23" t="s">
        <v>181</v>
      </c>
      <c r="B245" s="24">
        <v>45730</v>
      </c>
      <c r="C245" s="23" t="s">
        <v>342</v>
      </c>
      <c r="D245" s="23" t="s">
        <v>348</v>
      </c>
      <c r="E245" s="23" t="s">
        <v>354</v>
      </c>
      <c r="F245" s="23" t="s">
        <v>355</v>
      </c>
      <c r="G245" s="23" t="s">
        <v>362</v>
      </c>
      <c r="H245" s="23">
        <v>113</v>
      </c>
      <c r="I245" s="25">
        <v>14219</v>
      </c>
      <c r="J245" s="25">
        <v>2528</v>
      </c>
      <c r="K245" s="25">
        <v>166747</v>
      </c>
      <c r="L245" s="25">
        <v>132183</v>
      </c>
      <c r="M245" s="23" t="s">
        <v>364</v>
      </c>
      <c r="N245" s="23" t="s">
        <v>412</v>
      </c>
    </row>
    <row r="246" spans="1:14" x14ac:dyDescent="0.35">
      <c r="A246" s="23" t="s">
        <v>182</v>
      </c>
      <c r="B246" s="24">
        <v>45644</v>
      </c>
      <c r="C246" s="23" t="s">
        <v>342</v>
      </c>
      <c r="D246" s="23" t="s">
        <v>346</v>
      </c>
      <c r="E246" s="23" t="s">
        <v>354</v>
      </c>
      <c r="F246" s="23" t="s">
        <v>381</v>
      </c>
      <c r="G246" s="23" t="s">
        <v>362</v>
      </c>
      <c r="H246" s="23">
        <v>274</v>
      </c>
      <c r="I246" s="25">
        <v>5513</v>
      </c>
      <c r="J246" s="25">
        <v>296</v>
      </c>
      <c r="K246" s="25">
        <v>151562</v>
      </c>
      <c r="L246" s="25">
        <v>1429458</v>
      </c>
      <c r="M246" s="23" t="s">
        <v>375</v>
      </c>
      <c r="N246" s="23" t="s">
        <v>416</v>
      </c>
    </row>
    <row r="247" spans="1:14" x14ac:dyDescent="0.35">
      <c r="A247" s="23" t="s">
        <v>183</v>
      </c>
      <c r="B247" s="24">
        <v>45769</v>
      </c>
      <c r="C247" s="23" t="s">
        <v>339</v>
      </c>
      <c r="D247" s="23" t="s">
        <v>348</v>
      </c>
      <c r="E247" s="23" t="s">
        <v>351</v>
      </c>
      <c r="F247" s="23" t="s">
        <v>359</v>
      </c>
      <c r="G247" s="23" t="s">
        <v>363</v>
      </c>
      <c r="H247" s="23">
        <v>68</v>
      </c>
      <c r="I247" s="25">
        <v>4262</v>
      </c>
      <c r="J247" s="25">
        <v>5936</v>
      </c>
      <c r="K247" s="25">
        <v>289816</v>
      </c>
      <c r="L247" s="25">
        <v>113832</v>
      </c>
      <c r="M247" s="23" t="s">
        <v>365</v>
      </c>
      <c r="N247" s="23" t="s">
        <v>417</v>
      </c>
    </row>
    <row r="248" spans="1:14" x14ac:dyDescent="0.35">
      <c r="A248" s="23" t="s">
        <v>184</v>
      </c>
      <c r="B248" s="24">
        <v>45457</v>
      </c>
      <c r="C248" s="23" t="s">
        <v>343</v>
      </c>
      <c r="D248" s="23" t="s">
        <v>348</v>
      </c>
      <c r="E248" s="23" t="s">
        <v>353</v>
      </c>
      <c r="F248" s="23" t="s">
        <v>356</v>
      </c>
      <c r="G248" s="23" t="s">
        <v>362</v>
      </c>
      <c r="H248" s="23">
        <v>112</v>
      </c>
      <c r="I248" s="25">
        <v>118</v>
      </c>
      <c r="J248" s="25">
        <v>2361</v>
      </c>
      <c r="K248" s="25">
        <v>11416</v>
      </c>
      <c r="L248" s="25">
        <v>875728</v>
      </c>
      <c r="M248" s="23" t="s">
        <v>370</v>
      </c>
      <c r="N248" s="23" t="s">
        <v>413</v>
      </c>
    </row>
    <row r="249" spans="1:14" x14ac:dyDescent="0.35">
      <c r="A249" s="23" t="s">
        <v>474</v>
      </c>
      <c r="B249" s="24">
        <v>45365</v>
      </c>
      <c r="C249" s="23" t="s">
        <v>340</v>
      </c>
      <c r="D249" s="23" t="s">
        <v>350</v>
      </c>
      <c r="E249" s="23" t="s">
        <v>352</v>
      </c>
      <c r="F249" s="23" t="s">
        <v>361</v>
      </c>
      <c r="G249" s="23" t="s">
        <v>362</v>
      </c>
      <c r="H249" s="23">
        <v>14</v>
      </c>
      <c r="I249" s="25">
        <v>1429</v>
      </c>
      <c r="J249" s="25">
        <v>814</v>
      </c>
      <c r="K249" s="25">
        <v>1466</v>
      </c>
      <c r="L249" s="25">
        <v>3255</v>
      </c>
      <c r="M249" s="23" t="s">
        <v>364</v>
      </c>
      <c r="N249" s="23" t="s">
        <v>414</v>
      </c>
    </row>
    <row r="250" spans="1:14" x14ac:dyDescent="0.35">
      <c r="A250" s="23" t="s">
        <v>185</v>
      </c>
      <c r="B250" s="24">
        <v>45637</v>
      </c>
      <c r="C250" s="23" t="s">
        <v>340</v>
      </c>
      <c r="D250" s="23" t="s">
        <v>346</v>
      </c>
      <c r="E250" s="23" t="s">
        <v>353</v>
      </c>
      <c r="F250" s="23" t="s">
        <v>358</v>
      </c>
      <c r="G250" s="23" t="s">
        <v>363</v>
      </c>
      <c r="H250" s="23">
        <v>268</v>
      </c>
      <c r="I250" s="25">
        <v>3824</v>
      </c>
      <c r="J250" s="25">
        <v>2572</v>
      </c>
      <c r="K250" s="25">
        <v>124832</v>
      </c>
      <c r="L250" s="25">
        <v>335536</v>
      </c>
      <c r="M250" s="23" t="s">
        <v>375</v>
      </c>
      <c r="N250" s="23" t="s">
        <v>416</v>
      </c>
    </row>
    <row r="251" spans="1:14" x14ac:dyDescent="0.35">
      <c r="A251" s="23" t="s">
        <v>186</v>
      </c>
      <c r="B251" s="24">
        <v>45691</v>
      </c>
      <c r="C251" s="23" t="s">
        <v>340</v>
      </c>
      <c r="D251" s="23" t="s">
        <v>346</v>
      </c>
      <c r="E251" s="23" t="s">
        <v>354</v>
      </c>
      <c r="F251" s="23" t="s">
        <v>356</v>
      </c>
      <c r="G251" s="23" t="s">
        <v>363</v>
      </c>
      <c r="H251" s="23">
        <v>99</v>
      </c>
      <c r="I251" s="25">
        <v>3757</v>
      </c>
      <c r="J251" s="25">
        <v>5643</v>
      </c>
      <c r="K251" s="25">
        <v>371943</v>
      </c>
      <c r="L251" s="25">
        <v>186714</v>
      </c>
      <c r="M251" s="23" t="s">
        <v>374</v>
      </c>
      <c r="N251" s="23" t="s">
        <v>412</v>
      </c>
    </row>
    <row r="252" spans="1:14" x14ac:dyDescent="0.35">
      <c r="A252" s="23" t="s">
        <v>466</v>
      </c>
      <c r="B252" s="24">
        <v>45499</v>
      </c>
      <c r="C252" s="23" t="s">
        <v>342</v>
      </c>
      <c r="D252" s="23" t="s">
        <v>348</v>
      </c>
      <c r="E252" s="23" t="s">
        <v>354</v>
      </c>
      <c r="F252" s="23" t="s">
        <v>355</v>
      </c>
      <c r="G252" s="23" t="s">
        <v>362</v>
      </c>
      <c r="H252" s="23">
        <v>15</v>
      </c>
      <c r="I252" s="25">
        <v>444</v>
      </c>
      <c r="J252" s="25">
        <v>491</v>
      </c>
      <c r="K252" s="25">
        <v>666</v>
      </c>
      <c r="L252" s="25">
        <v>759</v>
      </c>
      <c r="M252" s="23" t="s">
        <v>372</v>
      </c>
      <c r="N252" s="23" t="s">
        <v>415</v>
      </c>
    </row>
    <row r="253" spans="1:14" x14ac:dyDescent="0.35">
      <c r="A253" s="23" t="s">
        <v>475</v>
      </c>
      <c r="B253" s="24">
        <v>45389</v>
      </c>
      <c r="C253" s="23" t="s">
        <v>340</v>
      </c>
      <c r="D253" s="23" t="s">
        <v>346</v>
      </c>
      <c r="E253" s="23" t="s">
        <v>353</v>
      </c>
      <c r="F253" s="23" t="s">
        <v>359</v>
      </c>
      <c r="G253" s="23" t="s">
        <v>363</v>
      </c>
      <c r="H253" s="23">
        <v>213</v>
      </c>
      <c r="I253" s="25">
        <v>1317</v>
      </c>
      <c r="J253" s="25">
        <v>3327</v>
      </c>
      <c r="K253" s="25">
        <v>28521</v>
      </c>
      <c r="L253" s="25">
        <v>42813</v>
      </c>
      <c r="M253" s="23" t="s">
        <v>365</v>
      </c>
      <c r="N253" s="23" t="s">
        <v>413</v>
      </c>
    </row>
    <row r="254" spans="1:14" x14ac:dyDescent="0.35">
      <c r="A254" s="23" t="s">
        <v>465</v>
      </c>
      <c r="B254" s="24">
        <v>45732</v>
      </c>
      <c r="C254" s="23" t="s">
        <v>339</v>
      </c>
      <c r="D254" s="23" t="s">
        <v>348</v>
      </c>
      <c r="E254" s="23" t="s">
        <v>353</v>
      </c>
      <c r="F254" s="23" t="s">
        <v>355</v>
      </c>
      <c r="G254" s="23" t="s">
        <v>363</v>
      </c>
      <c r="H254" s="23">
        <v>216</v>
      </c>
      <c r="I254" s="25">
        <v>4426</v>
      </c>
      <c r="J254" s="25">
        <v>1974</v>
      </c>
      <c r="K254" s="25">
        <v>95616</v>
      </c>
      <c r="L254" s="25">
        <v>529632</v>
      </c>
      <c r="M254" s="23" t="s">
        <v>364</v>
      </c>
      <c r="N254" s="23" t="s">
        <v>412</v>
      </c>
    </row>
    <row r="255" spans="1:14" x14ac:dyDescent="0.35">
      <c r="A255" s="23" t="s">
        <v>448</v>
      </c>
      <c r="B255" s="24">
        <v>45362</v>
      </c>
      <c r="C255" s="23" t="s">
        <v>341</v>
      </c>
      <c r="D255" s="23" t="s">
        <v>350</v>
      </c>
      <c r="E255" s="23" t="s">
        <v>351</v>
      </c>
      <c r="F255" s="23" t="s">
        <v>361</v>
      </c>
      <c r="G255" s="23" t="s">
        <v>362</v>
      </c>
      <c r="H255" s="23">
        <v>187</v>
      </c>
      <c r="I255" s="25">
        <v>0</v>
      </c>
      <c r="J255" s="25">
        <v>5511</v>
      </c>
      <c r="K255" s="25">
        <v>154751</v>
      </c>
      <c r="L255" s="25">
        <v>516494</v>
      </c>
      <c r="M255" s="23" t="s">
        <v>364</v>
      </c>
      <c r="N255" s="23" t="s">
        <v>414</v>
      </c>
    </row>
    <row r="256" spans="1:14" x14ac:dyDescent="0.35">
      <c r="A256" s="23" t="s">
        <v>453</v>
      </c>
      <c r="B256" s="24">
        <v>45622</v>
      </c>
      <c r="C256" s="23" t="s">
        <v>341</v>
      </c>
      <c r="D256" s="23" t="s">
        <v>348</v>
      </c>
      <c r="E256" s="23" t="s">
        <v>352</v>
      </c>
      <c r="F256" s="23" t="s">
        <v>356</v>
      </c>
      <c r="G256" s="23" t="s">
        <v>362</v>
      </c>
      <c r="H256" s="23">
        <v>179</v>
      </c>
      <c r="I256" s="25">
        <v>52</v>
      </c>
      <c r="J256" s="25">
        <v>816</v>
      </c>
      <c r="K256" s="25">
        <v>89858</v>
      </c>
      <c r="L256" s="25">
        <v>536284</v>
      </c>
      <c r="M256" s="23" t="s">
        <v>373</v>
      </c>
      <c r="N256" s="23" t="s">
        <v>416</v>
      </c>
    </row>
    <row r="257" spans="1:14" x14ac:dyDescent="0.35">
      <c r="A257" s="23" t="s">
        <v>187</v>
      </c>
      <c r="B257" s="24">
        <v>45468</v>
      </c>
      <c r="C257" s="23" t="s">
        <v>345</v>
      </c>
      <c r="D257" s="23" t="s">
        <v>346</v>
      </c>
      <c r="E257" s="23" t="s">
        <v>352</v>
      </c>
      <c r="F257" s="23" t="s">
        <v>360</v>
      </c>
      <c r="G257" s="23" t="s">
        <v>363</v>
      </c>
      <c r="H257" s="23">
        <v>129</v>
      </c>
      <c r="I257" s="25">
        <v>5782</v>
      </c>
      <c r="J257" s="25">
        <v>7631</v>
      </c>
      <c r="K257" s="25">
        <v>745878</v>
      </c>
      <c r="L257" s="25">
        <v>238521</v>
      </c>
      <c r="M257" s="23" t="s">
        <v>370</v>
      </c>
      <c r="N257" s="23" t="s">
        <v>413</v>
      </c>
    </row>
    <row r="258" spans="1:14" x14ac:dyDescent="0.35">
      <c r="A258" s="23" t="s">
        <v>188</v>
      </c>
      <c r="B258" s="24">
        <v>45510</v>
      </c>
      <c r="C258" s="23" t="s">
        <v>338</v>
      </c>
      <c r="D258" s="23" t="s">
        <v>346</v>
      </c>
      <c r="E258" s="23" t="s">
        <v>353</v>
      </c>
      <c r="F258" s="23" t="s">
        <v>360</v>
      </c>
      <c r="G258" s="23" t="s">
        <v>363</v>
      </c>
      <c r="H258" s="23">
        <v>36</v>
      </c>
      <c r="I258" s="25">
        <v>7727</v>
      </c>
      <c r="J258" s="25">
        <v>8699</v>
      </c>
      <c r="K258" s="25">
        <v>278172</v>
      </c>
      <c r="L258" s="25">
        <v>34992</v>
      </c>
      <c r="M258" s="23" t="s">
        <v>371</v>
      </c>
      <c r="N258" s="23" t="s">
        <v>415</v>
      </c>
    </row>
    <row r="259" spans="1:14" x14ac:dyDescent="0.35">
      <c r="A259" s="23" t="s">
        <v>473</v>
      </c>
      <c r="B259" s="24">
        <v>45501</v>
      </c>
      <c r="C259" s="23" t="s">
        <v>344</v>
      </c>
      <c r="D259" s="23" t="s">
        <v>346</v>
      </c>
      <c r="E259" s="23" t="s">
        <v>352</v>
      </c>
      <c r="F259" s="23" t="s">
        <v>357</v>
      </c>
      <c r="G259" s="23" t="s">
        <v>362</v>
      </c>
      <c r="H259" s="23">
        <v>98</v>
      </c>
      <c r="I259" s="25">
        <v>791</v>
      </c>
      <c r="J259" s="25">
        <v>8282</v>
      </c>
      <c r="K259" s="25">
        <v>77518</v>
      </c>
      <c r="L259" s="25">
        <v>734118</v>
      </c>
      <c r="M259" s="23" t="s">
        <v>372</v>
      </c>
      <c r="N259" s="23" t="s">
        <v>415</v>
      </c>
    </row>
    <row r="260" spans="1:14" x14ac:dyDescent="0.35">
      <c r="A260" s="23" t="s">
        <v>189</v>
      </c>
      <c r="B260" s="24">
        <v>45663</v>
      </c>
      <c r="C260" s="23" t="s">
        <v>341</v>
      </c>
      <c r="D260" s="23" t="s">
        <v>346</v>
      </c>
      <c r="E260" s="23" t="s">
        <v>351</v>
      </c>
      <c r="F260" s="23" t="s">
        <v>355</v>
      </c>
      <c r="G260" s="23" t="s">
        <v>363</v>
      </c>
      <c r="H260" s="23">
        <v>271</v>
      </c>
      <c r="I260" s="25">
        <v>8856</v>
      </c>
      <c r="J260" s="25">
        <v>79</v>
      </c>
      <c r="K260" s="25">
        <v>2399976</v>
      </c>
      <c r="L260" s="25">
        <v>227837</v>
      </c>
      <c r="M260" s="23" t="s">
        <v>366</v>
      </c>
      <c r="N260" s="23" t="s">
        <v>412</v>
      </c>
    </row>
    <row r="261" spans="1:14" x14ac:dyDescent="0.35">
      <c r="A261" s="23" t="s">
        <v>476</v>
      </c>
      <c r="B261" s="24">
        <v>45297</v>
      </c>
      <c r="C261" s="23" t="s">
        <v>345</v>
      </c>
      <c r="D261" s="23" t="s">
        <v>348</v>
      </c>
      <c r="E261" s="23" t="s">
        <v>353</v>
      </c>
      <c r="F261" s="23" t="s">
        <v>358</v>
      </c>
      <c r="G261" s="23" t="s">
        <v>362</v>
      </c>
      <c r="H261" s="23">
        <v>2</v>
      </c>
      <c r="I261" s="25">
        <v>1555</v>
      </c>
      <c r="J261" s="25">
        <v>38</v>
      </c>
      <c r="K261" s="25">
        <v>311</v>
      </c>
      <c r="L261" s="25">
        <v>235</v>
      </c>
      <c r="M261" s="23" t="s">
        <v>366</v>
      </c>
      <c r="N261" s="23" t="s">
        <v>414</v>
      </c>
    </row>
    <row r="262" spans="1:14" x14ac:dyDescent="0.35">
      <c r="A262" s="23" t="s">
        <v>190</v>
      </c>
      <c r="B262" s="24">
        <v>45777</v>
      </c>
      <c r="C262" s="23" t="s">
        <v>345</v>
      </c>
      <c r="D262" s="23" t="s">
        <v>348</v>
      </c>
      <c r="E262" s="23" t="s">
        <v>353</v>
      </c>
      <c r="F262" s="23" t="s">
        <v>361</v>
      </c>
      <c r="G262" s="23" t="s">
        <v>362</v>
      </c>
      <c r="H262" s="23">
        <v>8</v>
      </c>
      <c r="I262" s="25">
        <v>477</v>
      </c>
      <c r="J262" s="25">
        <v>586</v>
      </c>
      <c r="K262" s="25">
        <v>51516</v>
      </c>
      <c r="L262" s="25">
        <v>451872</v>
      </c>
      <c r="M262" s="23" t="s">
        <v>365</v>
      </c>
      <c r="N262" s="23" t="s">
        <v>417</v>
      </c>
    </row>
    <row r="263" spans="1:14" x14ac:dyDescent="0.35">
      <c r="A263" s="23" t="s">
        <v>191</v>
      </c>
      <c r="B263" s="24">
        <v>45448</v>
      </c>
      <c r="C263" s="23" t="s">
        <v>344</v>
      </c>
      <c r="D263" s="23" t="s">
        <v>350</v>
      </c>
      <c r="E263" s="23" t="s">
        <v>353</v>
      </c>
      <c r="F263" s="23" t="s">
        <v>361</v>
      </c>
      <c r="G263" s="23" t="s">
        <v>363</v>
      </c>
      <c r="H263" s="23">
        <v>95</v>
      </c>
      <c r="I263" s="25">
        <v>2369</v>
      </c>
      <c r="J263" s="25">
        <v>1837</v>
      </c>
      <c r="K263" s="25">
        <v>22555</v>
      </c>
      <c r="L263" s="25">
        <v>19845</v>
      </c>
      <c r="M263" s="23" t="s">
        <v>370</v>
      </c>
      <c r="N263" s="23" t="s">
        <v>413</v>
      </c>
    </row>
    <row r="264" spans="1:14" x14ac:dyDescent="0.35">
      <c r="A264" s="23" t="s">
        <v>477</v>
      </c>
      <c r="B264" s="24">
        <v>45353</v>
      </c>
      <c r="C264" s="23" t="s">
        <v>338</v>
      </c>
      <c r="D264" s="23" t="s">
        <v>381</v>
      </c>
      <c r="E264" s="23" t="s">
        <v>351</v>
      </c>
      <c r="F264" s="23" t="s">
        <v>361</v>
      </c>
      <c r="G264" s="23" t="s">
        <v>363</v>
      </c>
      <c r="H264" s="23">
        <v>189</v>
      </c>
      <c r="I264" s="25">
        <v>4522</v>
      </c>
      <c r="J264" s="25">
        <v>2867</v>
      </c>
      <c r="K264" s="25">
        <v>854658</v>
      </c>
      <c r="L264" s="25">
        <v>312795</v>
      </c>
      <c r="M264" s="23" t="s">
        <v>364</v>
      </c>
      <c r="N264" s="23" t="s">
        <v>414</v>
      </c>
    </row>
    <row r="265" spans="1:14" x14ac:dyDescent="0.35">
      <c r="A265" s="23" t="s">
        <v>192</v>
      </c>
      <c r="B265" s="24">
        <v>45509</v>
      </c>
      <c r="C265" s="23" t="s">
        <v>341</v>
      </c>
      <c r="D265" s="23" t="s">
        <v>348</v>
      </c>
      <c r="E265" s="23" t="s">
        <v>354</v>
      </c>
      <c r="F265" s="23" t="s">
        <v>361</v>
      </c>
      <c r="G265" s="23" t="s">
        <v>362</v>
      </c>
      <c r="H265" s="23">
        <v>139</v>
      </c>
      <c r="I265" s="25">
        <v>11943</v>
      </c>
      <c r="J265" s="25">
        <v>8536</v>
      </c>
      <c r="K265" s="25">
        <v>16677</v>
      </c>
      <c r="L265" s="25">
        <v>473573</v>
      </c>
      <c r="M265" s="23" t="s">
        <v>371</v>
      </c>
      <c r="N265" s="23" t="s">
        <v>415</v>
      </c>
    </row>
    <row r="266" spans="1:14" x14ac:dyDescent="0.35">
      <c r="A266" s="23" t="s">
        <v>437</v>
      </c>
      <c r="B266" s="24">
        <v>45596</v>
      </c>
      <c r="C266" s="23" t="s">
        <v>338</v>
      </c>
      <c r="D266" s="23" t="s">
        <v>348</v>
      </c>
      <c r="E266" s="23" t="s">
        <v>352</v>
      </c>
      <c r="F266" s="23" t="s">
        <v>360</v>
      </c>
      <c r="G266" s="23" t="s">
        <v>362</v>
      </c>
      <c r="H266" s="23">
        <v>3</v>
      </c>
      <c r="I266" s="25">
        <v>13219</v>
      </c>
      <c r="J266" s="25">
        <v>3812</v>
      </c>
      <c r="K266" s="25">
        <v>1361557</v>
      </c>
      <c r="L266" s="25">
        <v>968921</v>
      </c>
      <c r="M266" s="23" t="s">
        <v>369</v>
      </c>
      <c r="N266" s="23" t="s">
        <v>416</v>
      </c>
    </row>
    <row r="267" spans="1:14" x14ac:dyDescent="0.35">
      <c r="A267" s="23" t="s">
        <v>432</v>
      </c>
      <c r="B267" s="24">
        <v>45701</v>
      </c>
      <c r="C267" s="23" t="s">
        <v>339</v>
      </c>
      <c r="D267" s="23" t="s">
        <v>348</v>
      </c>
      <c r="E267" s="23" t="s">
        <v>352</v>
      </c>
      <c r="F267" s="23" t="s">
        <v>359</v>
      </c>
      <c r="G267" s="23" t="s">
        <v>363</v>
      </c>
      <c r="H267" s="23">
        <v>279</v>
      </c>
      <c r="I267" s="25">
        <v>69</v>
      </c>
      <c r="J267" s="25">
        <v>2725</v>
      </c>
      <c r="K267" s="25">
        <v>19251</v>
      </c>
      <c r="L267" s="25">
        <v>567765</v>
      </c>
      <c r="M267" s="23" t="s">
        <v>374</v>
      </c>
      <c r="N267" s="23" t="s">
        <v>412</v>
      </c>
    </row>
    <row r="268" spans="1:14" x14ac:dyDescent="0.35">
      <c r="A268" s="23" t="s">
        <v>193</v>
      </c>
      <c r="B268" s="24">
        <v>45780</v>
      </c>
      <c r="C268" s="23" t="s">
        <v>344</v>
      </c>
      <c r="D268" s="23" t="s">
        <v>348</v>
      </c>
      <c r="E268" s="23" t="s">
        <v>353</v>
      </c>
      <c r="F268" s="23" t="s">
        <v>357</v>
      </c>
      <c r="G268" s="23" t="s">
        <v>363</v>
      </c>
      <c r="H268" s="23">
        <v>185</v>
      </c>
      <c r="I268" s="25">
        <v>2532</v>
      </c>
      <c r="J268" s="25">
        <v>9352</v>
      </c>
      <c r="K268" s="25">
        <v>46842</v>
      </c>
      <c r="L268" s="25">
        <v>12617</v>
      </c>
      <c r="M268" s="23" t="s">
        <v>368</v>
      </c>
      <c r="N268" s="23" t="s">
        <v>417</v>
      </c>
    </row>
    <row r="269" spans="1:14" x14ac:dyDescent="0.35">
      <c r="A269" s="23" t="s">
        <v>431</v>
      </c>
      <c r="B269" s="24">
        <v>45320</v>
      </c>
      <c r="C269" s="23" t="s">
        <v>343</v>
      </c>
      <c r="D269" s="23" t="s">
        <v>346</v>
      </c>
      <c r="E269" s="23" t="s">
        <v>353</v>
      </c>
      <c r="F269" s="23" t="s">
        <v>361</v>
      </c>
      <c r="G269" s="23" t="s">
        <v>362</v>
      </c>
      <c r="H269" s="23">
        <v>174</v>
      </c>
      <c r="I269" s="25">
        <v>2223</v>
      </c>
      <c r="J269" s="25">
        <v>7433</v>
      </c>
      <c r="K269" s="25">
        <v>38682</v>
      </c>
      <c r="L269" s="25">
        <v>9654</v>
      </c>
      <c r="M269" s="23" t="s">
        <v>366</v>
      </c>
      <c r="N269" s="23" t="s">
        <v>414</v>
      </c>
    </row>
    <row r="270" spans="1:14" x14ac:dyDescent="0.35">
      <c r="A270" s="23" t="s">
        <v>194</v>
      </c>
      <c r="B270" s="24">
        <v>45763</v>
      </c>
      <c r="C270" s="23" t="s">
        <v>344</v>
      </c>
      <c r="D270" s="23" t="s">
        <v>350</v>
      </c>
      <c r="E270" s="23" t="s">
        <v>352</v>
      </c>
      <c r="F270" s="23" t="s">
        <v>355</v>
      </c>
      <c r="G270" s="23" t="s">
        <v>363</v>
      </c>
      <c r="H270" s="23">
        <v>264</v>
      </c>
      <c r="I270" s="25">
        <v>3131</v>
      </c>
      <c r="J270" s="25">
        <v>559</v>
      </c>
      <c r="K270" s="25">
        <v>826584</v>
      </c>
      <c r="L270" s="25">
        <v>6798</v>
      </c>
      <c r="M270" s="23" t="s">
        <v>365</v>
      </c>
      <c r="N270" s="23" t="s">
        <v>417</v>
      </c>
    </row>
    <row r="271" spans="1:14" x14ac:dyDescent="0.35">
      <c r="A271" s="23" t="s">
        <v>195</v>
      </c>
      <c r="B271" s="24">
        <v>45641</v>
      </c>
      <c r="C271" s="23" t="s">
        <v>341</v>
      </c>
      <c r="D271" s="23" t="s">
        <v>346</v>
      </c>
      <c r="E271" s="23" t="s">
        <v>352</v>
      </c>
      <c r="F271" s="23" t="s">
        <v>355</v>
      </c>
      <c r="G271" s="23" t="s">
        <v>362</v>
      </c>
      <c r="H271" s="23">
        <v>146</v>
      </c>
      <c r="I271" s="25">
        <v>1562</v>
      </c>
      <c r="J271" s="25">
        <v>6258</v>
      </c>
      <c r="K271" s="25">
        <v>154252</v>
      </c>
      <c r="L271" s="25">
        <v>628384</v>
      </c>
      <c r="M271" s="23" t="s">
        <v>375</v>
      </c>
      <c r="N271" s="23" t="s">
        <v>416</v>
      </c>
    </row>
    <row r="272" spans="1:14" x14ac:dyDescent="0.35">
      <c r="A272" s="23" t="s">
        <v>196</v>
      </c>
      <c r="B272" s="24">
        <v>45585</v>
      </c>
      <c r="C272" s="23" t="s">
        <v>340</v>
      </c>
      <c r="D272" s="23" t="s">
        <v>348</v>
      </c>
      <c r="E272" s="23" t="s">
        <v>351</v>
      </c>
      <c r="F272" s="23" t="s">
        <v>359</v>
      </c>
      <c r="G272" s="23" t="s">
        <v>363</v>
      </c>
      <c r="H272" s="23">
        <v>222</v>
      </c>
      <c r="I272" s="25">
        <v>883</v>
      </c>
      <c r="J272" s="25">
        <v>4313</v>
      </c>
      <c r="K272" s="25">
        <v>19626</v>
      </c>
      <c r="L272" s="25">
        <v>12774</v>
      </c>
      <c r="M272" s="23" t="s">
        <v>369</v>
      </c>
      <c r="N272" s="23" t="s">
        <v>416</v>
      </c>
    </row>
    <row r="273" spans="1:14" x14ac:dyDescent="0.35">
      <c r="A273" s="23" t="s">
        <v>449</v>
      </c>
      <c r="B273" s="24">
        <v>45305</v>
      </c>
      <c r="C273" s="23" t="s">
        <v>339</v>
      </c>
      <c r="D273" s="23" t="s">
        <v>346</v>
      </c>
      <c r="E273" s="23" t="s">
        <v>353</v>
      </c>
      <c r="F273" s="23" t="s">
        <v>355</v>
      </c>
      <c r="G273" s="23" t="s">
        <v>363</v>
      </c>
      <c r="H273" s="23">
        <v>0</v>
      </c>
      <c r="I273" s="25">
        <v>12286</v>
      </c>
      <c r="J273" s="25">
        <v>2223</v>
      </c>
      <c r="K273" s="25">
        <v>183614</v>
      </c>
      <c r="L273" s="25">
        <v>1499387</v>
      </c>
      <c r="M273" s="23" t="s">
        <v>366</v>
      </c>
      <c r="N273" s="23" t="s">
        <v>414</v>
      </c>
    </row>
    <row r="274" spans="1:14" x14ac:dyDescent="0.35">
      <c r="A274" s="23" t="s">
        <v>197</v>
      </c>
      <c r="B274" s="24">
        <v>45506</v>
      </c>
      <c r="C274" s="23" t="s">
        <v>338</v>
      </c>
      <c r="D274" s="23" t="s">
        <v>346</v>
      </c>
      <c r="E274" s="23" t="s">
        <v>353</v>
      </c>
      <c r="F274" s="23" t="s">
        <v>360</v>
      </c>
      <c r="G274" s="23" t="s">
        <v>363</v>
      </c>
      <c r="H274" s="23">
        <v>59</v>
      </c>
      <c r="I274" s="25">
        <v>13413</v>
      </c>
      <c r="J274" s="25">
        <v>8811</v>
      </c>
      <c r="K274" s="25">
        <v>791367</v>
      </c>
      <c r="L274" s="25">
        <v>271518</v>
      </c>
      <c r="M274" s="23" t="s">
        <v>371</v>
      </c>
      <c r="N274" s="23" t="s">
        <v>415</v>
      </c>
    </row>
    <row r="275" spans="1:14" x14ac:dyDescent="0.35">
      <c r="A275" s="23" t="s">
        <v>478</v>
      </c>
      <c r="B275" s="24">
        <v>45370</v>
      </c>
      <c r="C275" s="23" t="s">
        <v>344</v>
      </c>
      <c r="D275" s="23" t="s">
        <v>348</v>
      </c>
      <c r="E275" s="23" t="s">
        <v>351</v>
      </c>
      <c r="F275" s="23" t="s">
        <v>361</v>
      </c>
      <c r="G275" s="23" t="s">
        <v>362</v>
      </c>
      <c r="H275" s="23">
        <v>62</v>
      </c>
      <c r="I275" s="25">
        <v>1123</v>
      </c>
      <c r="J275" s="25">
        <v>4996</v>
      </c>
      <c r="K275" s="25">
        <v>683426</v>
      </c>
      <c r="L275" s="25">
        <v>373674</v>
      </c>
      <c r="M275" s="23" t="s">
        <v>364</v>
      </c>
      <c r="N275" s="23" t="s">
        <v>414</v>
      </c>
    </row>
    <row r="276" spans="1:14" x14ac:dyDescent="0.35">
      <c r="A276" s="23" t="s">
        <v>198</v>
      </c>
      <c r="B276" s="24">
        <v>45473</v>
      </c>
      <c r="C276" s="23" t="s">
        <v>339</v>
      </c>
      <c r="D276" s="23" t="s">
        <v>348</v>
      </c>
      <c r="E276" s="23" t="s">
        <v>351</v>
      </c>
      <c r="F276" s="23" t="s">
        <v>358</v>
      </c>
      <c r="G276" s="23" t="s">
        <v>362</v>
      </c>
      <c r="H276" s="23">
        <v>0</v>
      </c>
      <c r="I276" s="25">
        <v>965</v>
      </c>
      <c r="J276" s="25">
        <v>2393</v>
      </c>
      <c r="K276" s="25">
        <v>1892185</v>
      </c>
      <c r="L276" s="25">
        <v>142764</v>
      </c>
      <c r="M276" s="23" t="s">
        <v>370</v>
      </c>
      <c r="N276" s="23" t="s">
        <v>413</v>
      </c>
    </row>
    <row r="277" spans="1:14" x14ac:dyDescent="0.35">
      <c r="A277" s="23" t="s">
        <v>199</v>
      </c>
      <c r="B277" s="24">
        <v>45661</v>
      </c>
      <c r="C277" s="23" t="s">
        <v>339</v>
      </c>
      <c r="D277" s="23" t="s">
        <v>348</v>
      </c>
      <c r="E277" s="23" t="s">
        <v>354</v>
      </c>
      <c r="F277" s="23" t="s">
        <v>358</v>
      </c>
      <c r="G277" s="23" t="s">
        <v>362</v>
      </c>
      <c r="H277" s="23">
        <v>88</v>
      </c>
      <c r="I277" s="25">
        <v>1755</v>
      </c>
      <c r="J277" s="25">
        <v>51</v>
      </c>
      <c r="K277" s="25">
        <v>94644</v>
      </c>
      <c r="L277" s="25">
        <v>9156</v>
      </c>
      <c r="M277" s="23" t="s">
        <v>366</v>
      </c>
      <c r="N277" s="23" t="s">
        <v>412</v>
      </c>
    </row>
    <row r="278" spans="1:14" x14ac:dyDescent="0.35">
      <c r="A278" s="23" t="s">
        <v>200</v>
      </c>
      <c r="B278" s="24">
        <v>45636</v>
      </c>
      <c r="C278" s="23" t="s">
        <v>342</v>
      </c>
      <c r="D278" s="23" t="s">
        <v>346</v>
      </c>
      <c r="E278" s="23" t="s">
        <v>353</v>
      </c>
      <c r="F278" s="23" t="s">
        <v>361</v>
      </c>
      <c r="G278" s="23" t="s">
        <v>362</v>
      </c>
      <c r="H278" s="23">
        <v>143</v>
      </c>
      <c r="I278" s="25">
        <v>2674</v>
      </c>
      <c r="J278" s="25">
        <v>1228</v>
      </c>
      <c r="K278" s="25">
        <v>382382</v>
      </c>
      <c r="L278" s="25">
        <v>1781686</v>
      </c>
      <c r="M278" s="23" t="s">
        <v>375</v>
      </c>
      <c r="N278" s="23" t="s">
        <v>416</v>
      </c>
    </row>
    <row r="279" spans="1:14" x14ac:dyDescent="0.35">
      <c r="A279" s="23" t="s">
        <v>201</v>
      </c>
      <c r="B279" s="24">
        <v>45668</v>
      </c>
      <c r="C279" s="23" t="s">
        <v>344</v>
      </c>
      <c r="D279" s="23" t="s">
        <v>346</v>
      </c>
      <c r="E279" s="23" t="s">
        <v>353</v>
      </c>
      <c r="F279" s="23" t="s">
        <v>361</v>
      </c>
      <c r="G279" s="23" t="s">
        <v>363</v>
      </c>
      <c r="H279" s="23">
        <v>246</v>
      </c>
      <c r="I279" s="25">
        <v>13921</v>
      </c>
      <c r="J279" s="25">
        <v>857</v>
      </c>
      <c r="K279" s="25">
        <v>3424566</v>
      </c>
      <c r="L279" s="25">
        <v>1442544</v>
      </c>
      <c r="M279" s="23" t="s">
        <v>366</v>
      </c>
      <c r="N279" s="23" t="s">
        <v>412</v>
      </c>
    </row>
    <row r="280" spans="1:14" x14ac:dyDescent="0.35">
      <c r="A280" s="23" t="s">
        <v>202</v>
      </c>
      <c r="B280" s="24">
        <v>45714</v>
      </c>
      <c r="C280" s="23" t="s">
        <v>341</v>
      </c>
      <c r="D280" s="23" t="s">
        <v>346</v>
      </c>
      <c r="E280" s="23" t="s">
        <v>353</v>
      </c>
      <c r="F280" s="23" t="s">
        <v>360</v>
      </c>
      <c r="G280" s="23" t="s">
        <v>363</v>
      </c>
      <c r="H280" s="23">
        <v>42</v>
      </c>
      <c r="I280" s="25">
        <v>13522</v>
      </c>
      <c r="J280" s="25">
        <v>738</v>
      </c>
      <c r="K280" s="25">
        <v>567924</v>
      </c>
      <c r="L280" s="25">
        <v>26988</v>
      </c>
      <c r="M280" s="23" t="s">
        <v>374</v>
      </c>
      <c r="N280" s="23" t="s">
        <v>412</v>
      </c>
    </row>
    <row r="281" spans="1:14" x14ac:dyDescent="0.35">
      <c r="A281" s="23" t="s">
        <v>203</v>
      </c>
      <c r="B281" s="24">
        <v>45488</v>
      </c>
      <c r="C281" s="23" t="s">
        <v>338</v>
      </c>
      <c r="D281" s="23" t="s">
        <v>346</v>
      </c>
      <c r="E281" s="23" t="s">
        <v>351</v>
      </c>
      <c r="F281" s="23" t="s">
        <v>356</v>
      </c>
      <c r="G281" s="23" t="s">
        <v>363</v>
      </c>
      <c r="H281" s="23">
        <v>186</v>
      </c>
      <c r="I281" s="25">
        <v>11338</v>
      </c>
      <c r="J281" s="25">
        <v>423</v>
      </c>
      <c r="K281" s="25">
        <v>218868</v>
      </c>
      <c r="L281" s="25">
        <v>132711</v>
      </c>
      <c r="M281" s="23" t="s">
        <v>372</v>
      </c>
      <c r="N281" s="23" t="s">
        <v>415</v>
      </c>
    </row>
    <row r="282" spans="1:14" x14ac:dyDescent="0.35">
      <c r="A282" s="23" t="s">
        <v>435</v>
      </c>
      <c r="B282" s="24">
        <v>45693</v>
      </c>
      <c r="C282" s="23" t="s">
        <v>344</v>
      </c>
      <c r="D282" s="23" t="s">
        <v>348</v>
      </c>
      <c r="E282" s="23" t="s">
        <v>353</v>
      </c>
      <c r="F282" s="23" t="s">
        <v>381</v>
      </c>
      <c r="G282" s="23" t="s">
        <v>362</v>
      </c>
      <c r="H282" s="23">
        <v>179</v>
      </c>
      <c r="I282" s="25">
        <v>2542</v>
      </c>
      <c r="J282" s="25">
        <v>2439</v>
      </c>
      <c r="K282" s="25">
        <v>45518</v>
      </c>
      <c r="L282" s="25">
        <v>18437</v>
      </c>
      <c r="M282" s="23" t="s">
        <v>374</v>
      </c>
      <c r="N282" s="23" t="s">
        <v>412</v>
      </c>
    </row>
    <row r="283" spans="1:14" x14ac:dyDescent="0.35">
      <c r="A283" s="23" t="s">
        <v>479</v>
      </c>
      <c r="B283" s="24">
        <v>45310</v>
      </c>
      <c r="C283" s="23" t="s">
        <v>342</v>
      </c>
      <c r="D283" s="23" t="s">
        <v>346</v>
      </c>
      <c r="E283" s="23" t="s">
        <v>351</v>
      </c>
      <c r="F283" s="23" t="s">
        <v>358</v>
      </c>
      <c r="G283" s="23" t="s">
        <v>363</v>
      </c>
      <c r="H283" s="23">
        <v>16</v>
      </c>
      <c r="I283" s="25">
        <v>1711</v>
      </c>
      <c r="J283" s="25">
        <v>655</v>
      </c>
      <c r="K283" s="25">
        <v>27376</v>
      </c>
      <c r="L283" s="25">
        <v>6954</v>
      </c>
      <c r="M283" s="23" t="s">
        <v>366</v>
      </c>
      <c r="N283" s="23" t="s">
        <v>414</v>
      </c>
    </row>
    <row r="284" spans="1:14" x14ac:dyDescent="0.35">
      <c r="A284" s="23" t="s">
        <v>432</v>
      </c>
      <c r="B284" s="24">
        <v>45341</v>
      </c>
      <c r="C284" s="23" t="s">
        <v>340</v>
      </c>
      <c r="D284" s="23" t="s">
        <v>348</v>
      </c>
      <c r="E284" s="23" t="s">
        <v>353</v>
      </c>
      <c r="F284" s="23" t="s">
        <v>359</v>
      </c>
      <c r="G284" s="23" t="s">
        <v>362</v>
      </c>
      <c r="H284" s="23">
        <v>53</v>
      </c>
      <c r="I284" s="25">
        <v>9626</v>
      </c>
      <c r="J284" s="25">
        <v>3476</v>
      </c>
      <c r="K284" s="25">
        <v>51178</v>
      </c>
      <c r="L284" s="25">
        <v>32595</v>
      </c>
      <c r="M284" s="23" t="s">
        <v>374</v>
      </c>
      <c r="N284" s="23" t="s">
        <v>414</v>
      </c>
    </row>
    <row r="285" spans="1:14" x14ac:dyDescent="0.35">
      <c r="A285" s="23" t="s">
        <v>480</v>
      </c>
      <c r="B285" s="24">
        <v>45324</v>
      </c>
      <c r="C285" s="23" t="s">
        <v>341</v>
      </c>
      <c r="D285" s="23" t="s">
        <v>350</v>
      </c>
      <c r="E285" s="23" t="s">
        <v>351</v>
      </c>
      <c r="F285" s="23" t="s">
        <v>355</v>
      </c>
      <c r="G285" s="23" t="s">
        <v>363</v>
      </c>
      <c r="H285" s="23">
        <v>13</v>
      </c>
      <c r="I285" s="25">
        <v>8959</v>
      </c>
      <c r="J285" s="25">
        <v>415</v>
      </c>
      <c r="K285" s="25">
        <v>116467</v>
      </c>
      <c r="L285" s="25">
        <v>64272</v>
      </c>
      <c r="M285" s="23" t="s">
        <v>374</v>
      </c>
      <c r="N285" s="23" t="s">
        <v>414</v>
      </c>
    </row>
    <row r="286" spans="1:14" x14ac:dyDescent="0.35">
      <c r="A286" s="23" t="s">
        <v>204</v>
      </c>
      <c r="B286" s="24">
        <v>45791</v>
      </c>
      <c r="C286" s="23" t="s">
        <v>342</v>
      </c>
      <c r="D286" s="23" t="s">
        <v>348</v>
      </c>
      <c r="E286" s="23" t="s">
        <v>351</v>
      </c>
      <c r="F286" s="23" t="s">
        <v>357</v>
      </c>
      <c r="G286" s="23" t="s">
        <v>363</v>
      </c>
      <c r="H286" s="23">
        <v>0</v>
      </c>
      <c r="I286" s="25">
        <v>2521</v>
      </c>
      <c r="J286" s="25">
        <v>4656</v>
      </c>
      <c r="K286" s="25">
        <v>2168</v>
      </c>
      <c r="L286" s="25">
        <v>178</v>
      </c>
      <c r="M286" s="23" t="s">
        <v>368</v>
      </c>
      <c r="N286" s="23" t="s">
        <v>417</v>
      </c>
    </row>
    <row r="287" spans="1:14" x14ac:dyDescent="0.35">
      <c r="A287" s="23" t="s">
        <v>205</v>
      </c>
      <c r="B287" s="24">
        <v>45409</v>
      </c>
      <c r="C287" s="23" t="s">
        <v>339</v>
      </c>
      <c r="D287" s="23" t="s">
        <v>348</v>
      </c>
      <c r="E287" s="23" t="s">
        <v>352</v>
      </c>
      <c r="F287" s="23" t="s">
        <v>359</v>
      </c>
      <c r="G287" s="23" t="s">
        <v>363</v>
      </c>
      <c r="H287" s="23">
        <v>23</v>
      </c>
      <c r="I287" s="25">
        <v>844</v>
      </c>
      <c r="J287" s="25">
        <v>8727</v>
      </c>
      <c r="K287" s="25">
        <v>18512</v>
      </c>
      <c r="L287" s="25">
        <v>1579</v>
      </c>
      <c r="M287" s="23" t="s">
        <v>365</v>
      </c>
      <c r="N287" s="23" t="s">
        <v>413</v>
      </c>
    </row>
    <row r="288" spans="1:14" x14ac:dyDescent="0.35">
      <c r="A288" s="23" t="s">
        <v>206</v>
      </c>
      <c r="B288" s="24">
        <v>45759</v>
      </c>
      <c r="C288" s="23" t="s">
        <v>338</v>
      </c>
      <c r="D288" s="23" t="s">
        <v>348</v>
      </c>
      <c r="E288" s="23" t="s">
        <v>352</v>
      </c>
      <c r="F288" s="23" t="s">
        <v>355</v>
      </c>
      <c r="G288" s="23" t="s">
        <v>363</v>
      </c>
      <c r="H288" s="23">
        <v>176</v>
      </c>
      <c r="I288" s="25">
        <v>689</v>
      </c>
      <c r="J288" s="25">
        <v>6248</v>
      </c>
      <c r="K288" s="25">
        <v>121264</v>
      </c>
      <c r="L288" s="25">
        <v>978384</v>
      </c>
      <c r="M288" s="23" t="s">
        <v>365</v>
      </c>
      <c r="N288" s="23" t="s">
        <v>417</v>
      </c>
    </row>
    <row r="289" spans="1:14" x14ac:dyDescent="0.35">
      <c r="A289" s="23" t="s">
        <v>481</v>
      </c>
      <c r="B289" s="24">
        <v>45348</v>
      </c>
      <c r="C289" s="23" t="s">
        <v>339</v>
      </c>
      <c r="D289" s="23" t="s">
        <v>350</v>
      </c>
      <c r="E289" s="23" t="s">
        <v>352</v>
      </c>
      <c r="F289" s="23" t="s">
        <v>358</v>
      </c>
      <c r="G289" s="23" t="s">
        <v>363</v>
      </c>
      <c r="H289" s="26">
        <v>45689</v>
      </c>
      <c r="I289" s="25">
        <v>4574</v>
      </c>
      <c r="J289" s="25">
        <v>4461</v>
      </c>
      <c r="K289" s="25">
        <v>919374</v>
      </c>
      <c r="L289" s="25">
        <v>22712</v>
      </c>
      <c r="M289" s="23" t="s">
        <v>374</v>
      </c>
      <c r="N289" s="23" t="s">
        <v>414</v>
      </c>
    </row>
    <row r="290" spans="1:14" x14ac:dyDescent="0.35">
      <c r="A290" s="23" t="s">
        <v>482</v>
      </c>
      <c r="B290" s="24">
        <v>45296</v>
      </c>
      <c r="C290" s="23" t="s">
        <v>342</v>
      </c>
      <c r="D290" s="23" t="s">
        <v>346</v>
      </c>
      <c r="E290" s="23" t="s">
        <v>354</v>
      </c>
      <c r="F290" s="23" t="s">
        <v>356</v>
      </c>
      <c r="G290" s="23" t="s">
        <v>363</v>
      </c>
      <c r="H290" s="23">
        <v>188</v>
      </c>
      <c r="I290" s="25">
        <v>1664</v>
      </c>
      <c r="J290" s="25">
        <v>2869</v>
      </c>
      <c r="K290" s="25">
        <v>24832</v>
      </c>
      <c r="L290" s="25">
        <v>146546</v>
      </c>
      <c r="M290" s="23" t="s">
        <v>366</v>
      </c>
      <c r="N290" s="23" t="s">
        <v>414</v>
      </c>
    </row>
    <row r="291" spans="1:14" x14ac:dyDescent="0.35">
      <c r="A291" s="23" t="s">
        <v>483</v>
      </c>
      <c r="B291" s="24">
        <v>45388</v>
      </c>
      <c r="C291" s="23" t="s">
        <v>340</v>
      </c>
      <c r="D291" s="23" t="s">
        <v>348</v>
      </c>
      <c r="E291" s="23" t="s">
        <v>352</v>
      </c>
      <c r="F291" s="23" t="s">
        <v>358</v>
      </c>
      <c r="G291" s="23" t="s">
        <v>363</v>
      </c>
      <c r="H291" s="23">
        <v>171</v>
      </c>
      <c r="I291" s="25">
        <v>0</v>
      </c>
      <c r="J291" s="25">
        <v>8477</v>
      </c>
      <c r="K291" s="25">
        <v>763344</v>
      </c>
      <c r="L291" s="25">
        <v>686223</v>
      </c>
      <c r="M291" s="23" t="s">
        <v>365</v>
      </c>
      <c r="N291" s="23" t="s">
        <v>413</v>
      </c>
    </row>
    <row r="292" spans="1:14" x14ac:dyDescent="0.35">
      <c r="A292" s="23" t="s">
        <v>207</v>
      </c>
      <c r="B292" s="24">
        <v>45431</v>
      </c>
      <c r="C292" s="23" t="s">
        <v>338</v>
      </c>
      <c r="D292" s="23" t="s">
        <v>346</v>
      </c>
      <c r="E292" s="23" t="s">
        <v>351</v>
      </c>
      <c r="F292" s="23" t="s">
        <v>358</v>
      </c>
      <c r="G292" s="23" t="s">
        <v>363</v>
      </c>
      <c r="H292" s="23">
        <v>127</v>
      </c>
      <c r="I292" s="25">
        <v>7953</v>
      </c>
      <c r="J292" s="25">
        <v>314</v>
      </c>
      <c r="K292" s="25">
        <v>47849</v>
      </c>
      <c r="L292" s="25">
        <v>615823</v>
      </c>
      <c r="M292" s="23" t="s">
        <v>368</v>
      </c>
      <c r="N292" s="23" t="s">
        <v>413</v>
      </c>
    </row>
    <row r="293" spans="1:14" x14ac:dyDescent="0.35">
      <c r="A293" s="23" t="s">
        <v>208</v>
      </c>
      <c r="B293" s="24">
        <v>45627</v>
      </c>
      <c r="C293" s="23" t="s">
        <v>340</v>
      </c>
      <c r="D293" s="23" t="s">
        <v>348</v>
      </c>
      <c r="E293" s="23" t="s">
        <v>354</v>
      </c>
      <c r="F293" s="23" t="s">
        <v>360</v>
      </c>
      <c r="G293" s="23" t="s">
        <v>362</v>
      </c>
      <c r="H293" s="23">
        <v>263</v>
      </c>
      <c r="I293" s="25">
        <v>11556</v>
      </c>
      <c r="J293" s="25">
        <v>446</v>
      </c>
      <c r="K293" s="25">
        <v>339228</v>
      </c>
      <c r="L293" s="25">
        <v>197513</v>
      </c>
      <c r="M293" s="23" t="s">
        <v>375</v>
      </c>
      <c r="N293" s="23" t="s">
        <v>416</v>
      </c>
    </row>
    <row r="294" spans="1:14" x14ac:dyDescent="0.35">
      <c r="A294" s="23" t="s">
        <v>484</v>
      </c>
      <c r="B294" s="24">
        <v>45344</v>
      </c>
      <c r="C294" s="23" t="s">
        <v>345</v>
      </c>
      <c r="D294" s="23" t="s">
        <v>348</v>
      </c>
      <c r="E294" s="23" t="s">
        <v>352</v>
      </c>
      <c r="F294" s="23" t="s">
        <v>359</v>
      </c>
      <c r="G294" s="23" t="s">
        <v>362</v>
      </c>
      <c r="H294" s="23">
        <v>19</v>
      </c>
      <c r="I294" s="25">
        <v>96</v>
      </c>
      <c r="J294" s="25">
        <v>936</v>
      </c>
      <c r="K294" s="25">
        <v>1824</v>
      </c>
      <c r="L294" s="25">
        <v>164616</v>
      </c>
      <c r="M294" s="23" t="s">
        <v>374</v>
      </c>
      <c r="N294" s="23" t="s">
        <v>414</v>
      </c>
    </row>
    <row r="295" spans="1:14" x14ac:dyDescent="0.35">
      <c r="A295" s="23" t="s">
        <v>209</v>
      </c>
      <c r="B295" s="24">
        <v>45667</v>
      </c>
      <c r="C295" s="23" t="s">
        <v>339</v>
      </c>
      <c r="D295" s="23" t="s">
        <v>348</v>
      </c>
      <c r="E295" s="23" t="s">
        <v>351</v>
      </c>
      <c r="F295" s="23" t="s">
        <v>355</v>
      </c>
      <c r="G295" s="23" t="s">
        <v>362</v>
      </c>
      <c r="H295" s="23">
        <v>277</v>
      </c>
      <c r="I295" s="25">
        <v>1448</v>
      </c>
      <c r="J295" s="25">
        <v>7198</v>
      </c>
      <c r="K295" s="25">
        <v>3891296</v>
      </c>
      <c r="L295" s="25">
        <v>189745</v>
      </c>
      <c r="M295" s="23" t="s">
        <v>366</v>
      </c>
      <c r="N295" s="23" t="s">
        <v>412</v>
      </c>
    </row>
    <row r="296" spans="1:14" x14ac:dyDescent="0.35">
      <c r="A296" s="23" t="s">
        <v>210</v>
      </c>
      <c r="B296" s="24">
        <v>45404</v>
      </c>
      <c r="C296" s="23" t="s">
        <v>338</v>
      </c>
      <c r="D296" s="23" t="s">
        <v>348</v>
      </c>
      <c r="E296" s="23" t="s">
        <v>351</v>
      </c>
      <c r="F296" s="23" t="s">
        <v>360</v>
      </c>
      <c r="G296" s="23" t="s">
        <v>362</v>
      </c>
      <c r="H296" s="23">
        <v>23</v>
      </c>
      <c r="I296" s="25">
        <v>124</v>
      </c>
      <c r="J296" s="25">
        <v>6334</v>
      </c>
      <c r="K296" s="25">
        <v>23552</v>
      </c>
      <c r="L296" s="25">
        <v>89838</v>
      </c>
      <c r="M296" s="23" t="s">
        <v>365</v>
      </c>
      <c r="N296" s="23" t="s">
        <v>413</v>
      </c>
    </row>
    <row r="297" spans="1:14" x14ac:dyDescent="0.35">
      <c r="A297" s="23" t="s">
        <v>211</v>
      </c>
      <c r="B297" s="24">
        <v>45415</v>
      </c>
      <c r="C297" s="23" t="s">
        <v>339</v>
      </c>
      <c r="D297" s="23" t="s">
        <v>346</v>
      </c>
      <c r="E297" s="23" t="s">
        <v>352</v>
      </c>
      <c r="F297" s="23" t="s">
        <v>358</v>
      </c>
      <c r="G297" s="23" t="s">
        <v>362</v>
      </c>
      <c r="H297" s="23">
        <v>12</v>
      </c>
      <c r="I297" s="25">
        <v>13211</v>
      </c>
      <c r="J297" s="25">
        <v>998</v>
      </c>
      <c r="K297" s="25">
        <v>158532</v>
      </c>
      <c r="L297" s="25">
        <v>38772</v>
      </c>
      <c r="M297" s="23" t="s">
        <v>368</v>
      </c>
      <c r="N297" s="23" t="s">
        <v>413</v>
      </c>
    </row>
    <row r="298" spans="1:14" x14ac:dyDescent="0.35">
      <c r="A298" s="23" t="s">
        <v>212</v>
      </c>
      <c r="B298" s="24">
        <v>45736</v>
      </c>
      <c r="C298" s="23" t="s">
        <v>340</v>
      </c>
      <c r="D298" s="23" t="s">
        <v>348</v>
      </c>
      <c r="E298" s="23" t="s">
        <v>354</v>
      </c>
      <c r="F298" s="23" t="s">
        <v>357</v>
      </c>
      <c r="G298" s="23" t="s">
        <v>362</v>
      </c>
      <c r="H298" s="23">
        <v>191</v>
      </c>
      <c r="I298" s="25">
        <v>2764</v>
      </c>
      <c r="J298" s="25">
        <v>8733</v>
      </c>
      <c r="K298" s="25">
        <v>527924</v>
      </c>
      <c r="L298" s="25">
        <v>11479</v>
      </c>
      <c r="M298" s="23" t="s">
        <v>364</v>
      </c>
      <c r="N298" s="23" t="s">
        <v>412</v>
      </c>
    </row>
    <row r="299" spans="1:14" x14ac:dyDescent="0.35">
      <c r="A299" s="23" t="s">
        <v>485</v>
      </c>
      <c r="B299" s="24">
        <v>45374</v>
      </c>
      <c r="C299" s="23" t="s">
        <v>345</v>
      </c>
      <c r="D299" s="23" t="s">
        <v>346</v>
      </c>
      <c r="E299" s="23" t="s">
        <v>353</v>
      </c>
      <c r="F299" s="23" t="s">
        <v>360</v>
      </c>
      <c r="G299" s="23" t="s">
        <v>362</v>
      </c>
      <c r="H299" s="23">
        <v>288</v>
      </c>
      <c r="I299" s="25">
        <v>1358</v>
      </c>
      <c r="J299" s="25">
        <v>586</v>
      </c>
      <c r="K299" s="25">
        <v>37674</v>
      </c>
      <c r="L299" s="25">
        <v>3591936</v>
      </c>
      <c r="M299" s="23" t="s">
        <v>364</v>
      </c>
      <c r="N299" s="23" t="s">
        <v>414</v>
      </c>
    </row>
    <row r="300" spans="1:14" x14ac:dyDescent="0.35">
      <c r="A300" s="23" t="s">
        <v>213</v>
      </c>
      <c r="B300" s="24">
        <v>45704</v>
      </c>
      <c r="C300" s="23" t="s">
        <v>344</v>
      </c>
      <c r="D300" s="23" t="s">
        <v>381</v>
      </c>
      <c r="E300" s="23" t="s">
        <v>351</v>
      </c>
      <c r="F300" s="23" t="s">
        <v>360</v>
      </c>
      <c r="G300" s="23" t="s">
        <v>363</v>
      </c>
      <c r="H300" s="23">
        <v>159</v>
      </c>
      <c r="I300" s="25">
        <v>14436</v>
      </c>
      <c r="J300" s="25">
        <v>7326</v>
      </c>
      <c r="K300" s="25">
        <v>2295324</v>
      </c>
      <c r="L300" s="25">
        <v>11349</v>
      </c>
      <c r="M300" s="23" t="s">
        <v>374</v>
      </c>
      <c r="N300" s="23" t="s">
        <v>412</v>
      </c>
    </row>
    <row r="301" spans="1:14" x14ac:dyDescent="0.35">
      <c r="A301" s="23" t="s">
        <v>214</v>
      </c>
      <c r="B301" s="24">
        <v>45718</v>
      </c>
      <c r="C301" s="23" t="s">
        <v>345</v>
      </c>
      <c r="D301" s="23" t="s">
        <v>348</v>
      </c>
      <c r="E301" s="23" t="s">
        <v>353</v>
      </c>
      <c r="F301" s="23" t="s">
        <v>360</v>
      </c>
      <c r="G301" s="23" t="s">
        <v>363</v>
      </c>
      <c r="H301" s="23">
        <v>94</v>
      </c>
      <c r="I301" s="25">
        <v>7345</v>
      </c>
      <c r="J301" s="25">
        <v>4333</v>
      </c>
      <c r="K301" s="25">
        <v>6943</v>
      </c>
      <c r="L301" s="25">
        <v>283128</v>
      </c>
      <c r="M301" s="23" t="s">
        <v>364</v>
      </c>
      <c r="N301" s="23" t="s">
        <v>412</v>
      </c>
    </row>
    <row r="302" spans="1:14" x14ac:dyDescent="0.35">
      <c r="A302" s="23" t="s">
        <v>452</v>
      </c>
      <c r="B302" s="24">
        <v>45298</v>
      </c>
      <c r="C302" s="23" t="s">
        <v>340</v>
      </c>
      <c r="D302" s="23" t="s">
        <v>346</v>
      </c>
      <c r="E302" s="23" t="s">
        <v>354</v>
      </c>
      <c r="F302" s="23" t="s">
        <v>358</v>
      </c>
      <c r="G302" s="23" t="s">
        <v>362</v>
      </c>
      <c r="H302" s="23">
        <v>2</v>
      </c>
      <c r="I302" s="25">
        <v>12417</v>
      </c>
      <c r="J302" s="25">
        <v>916</v>
      </c>
      <c r="K302" s="25">
        <v>1266534</v>
      </c>
      <c r="L302" s="25">
        <v>332214</v>
      </c>
      <c r="M302" s="23" t="s">
        <v>366</v>
      </c>
      <c r="N302" s="23" t="s">
        <v>414</v>
      </c>
    </row>
    <row r="303" spans="1:14" x14ac:dyDescent="0.35">
      <c r="A303" s="23" t="s">
        <v>215</v>
      </c>
      <c r="B303" s="24">
        <v>45666</v>
      </c>
      <c r="C303" s="23" t="s">
        <v>341</v>
      </c>
      <c r="D303" s="23" t="s">
        <v>348</v>
      </c>
      <c r="E303" s="23" t="s">
        <v>351</v>
      </c>
      <c r="F303" s="23" t="s">
        <v>355</v>
      </c>
      <c r="G303" s="23" t="s">
        <v>362</v>
      </c>
      <c r="H303" s="23">
        <v>68</v>
      </c>
      <c r="I303" s="25">
        <v>11178</v>
      </c>
      <c r="J303" s="25">
        <v>8735</v>
      </c>
      <c r="K303" s="25">
        <v>7614</v>
      </c>
      <c r="L303" s="25">
        <v>166124</v>
      </c>
      <c r="M303" s="23" t="s">
        <v>366</v>
      </c>
      <c r="N303" s="23" t="s">
        <v>412</v>
      </c>
    </row>
    <row r="304" spans="1:14" x14ac:dyDescent="0.35">
      <c r="A304" s="23" t="s">
        <v>216</v>
      </c>
      <c r="B304" s="24">
        <v>45709</v>
      </c>
      <c r="C304" s="23" t="s">
        <v>345</v>
      </c>
      <c r="D304" s="23" t="s">
        <v>346</v>
      </c>
      <c r="E304" s="23" t="s">
        <v>351</v>
      </c>
      <c r="F304" s="23" t="s">
        <v>358</v>
      </c>
      <c r="G304" s="23" t="s">
        <v>362</v>
      </c>
      <c r="H304" s="23">
        <v>178</v>
      </c>
      <c r="I304" s="25">
        <v>0</v>
      </c>
      <c r="J304" s="25">
        <v>9879</v>
      </c>
      <c r="K304" s="25">
        <v>1385196</v>
      </c>
      <c r="L304" s="25">
        <v>373266</v>
      </c>
      <c r="M304" s="23" t="s">
        <v>374</v>
      </c>
      <c r="N304" s="23" t="s">
        <v>412</v>
      </c>
    </row>
    <row r="305" spans="1:14" x14ac:dyDescent="0.35">
      <c r="A305" s="23" t="s">
        <v>421</v>
      </c>
      <c r="B305" s="24">
        <v>45293</v>
      </c>
      <c r="C305" s="23" t="s">
        <v>341</v>
      </c>
      <c r="D305" s="23" t="s">
        <v>346</v>
      </c>
      <c r="E305" s="23" t="s">
        <v>353</v>
      </c>
      <c r="F305" s="23" t="s">
        <v>357</v>
      </c>
      <c r="G305" s="23" t="s">
        <v>363</v>
      </c>
      <c r="H305" s="23">
        <v>27</v>
      </c>
      <c r="I305" s="25">
        <v>9464</v>
      </c>
      <c r="J305" s="25">
        <v>9847</v>
      </c>
      <c r="K305" s="25">
        <v>255528</v>
      </c>
      <c r="L305" s="25">
        <v>1341</v>
      </c>
      <c r="M305" s="23" t="s">
        <v>366</v>
      </c>
      <c r="N305" s="23" t="s">
        <v>414</v>
      </c>
    </row>
    <row r="306" spans="1:14" x14ac:dyDescent="0.35">
      <c r="A306" s="23" t="s">
        <v>462</v>
      </c>
      <c r="B306" s="24">
        <v>45442</v>
      </c>
      <c r="C306" s="23" t="s">
        <v>338</v>
      </c>
      <c r="D306" s="23" t="s">
        <v>346</v>
      </c>
      <c r="E306" s="23" t="s">
        <v>354</v>
      </c>
      <c r="F306" s="23" t="s">
        <v>357</v>
      </c>
      <c r="G306" s="23" t="s">
        <v>363</v>
      </c>
      <c r="H306" s="23">
        <v>164</v>
      </c>
      <c r="I306" s="25">
        <v>1471</v>
      </c>
      <c r="J306" s="25">
        <v>176</v>
      </c>
      <c r="K306" s="25">
        <v>241244</v>
      </c>
      <c r="L306" s="25">
        <v>2235976</v>
      </c>
      <c r="M306" s="23" t="s">
        <v>368</v>
      </c>
      <c r="N306" s="23" t="s">
        <v>413</v>
      </c>
    </row>
    <row r="307" spans="1:14" x14ac:dyDescent="0.35">
      <c r="A307" s="23" t="s">
        <v>486</v>
      </c>
      <c r="B307" s="24">
        <v>45386</v>
      </c>
      <c r="C307" s="23" t="s">
        <v>341</v>
      </c>
      <c r="D307" s="23" t="s">
        <v>346</v>
      </c>
      <c r="E307" s="23" t="s">
        <v>354</v>
      </c>
      <c r="F307" s="23" t="s">
        <v>356</v>
      </c>
      <c r="G307" s="23" t="s">
        <v>363</v>
      </c>
      <c r="H307" s="23">
        <v>292</v>
      </c>
      <c r="I307" s="25">
        <v>7296</v>
      </c>
      <c r="J307" s="25">
        <v>4847</v>
      </c>
      <c r="K307" s="25">
        <v>213432</v>
      </c>
      <c r="L307" s="25">
        <v>71518</v>
      </c>
      <c r="M307" s="23" t="s">
        <v>365</v>
      </c>
      <c r="N307" s="23" t="s">
        <v>413</v>
      </c>
    </row>
    <row r="308" spans="1:14" x14ac:dyDescent="0.35">
      <c r="A308" s="23" t="s">
        <v>217</v>
      </c>
      <c r="B308" s="24">
        <v>45439</v>
      </c>
      <c r="C308" s="23" t="s">
        <v>345</v>
      </c>
      <c r="D308" s="23" t="s">
        <v>346</v>
      </c>
      <c r="E308" s="23" t="s">
        <v>351</v>
      </c>
      <c r="F308" s="23" t="s">
        <v>361</v>
      </c>
      <c r="G308" s="23" t="s">
        <v>362</v>
      </c>
      <c r="H308" s="23">
        <v>258</v>
      </c>
      <c r="I308" s="25">
        <v>7636</v>
      </c>
      <c r="J308" s="25">
        <v>2339</v>
      </c>
      <c r="K308" s="25">
        <v>19788</v>
      </c>
      <c r="L308" s="25">
        <v>1366626</v>
      </c>
      <c r="M308" s="23" t="s">
        <v>368</v>
      </c>
      <c r="N308" s="23" t="s">
        <v>413</v>
      </c>
    </row>
    <row r="309" spans="1:14" x14ac:dyDescent="0.35">
      <c r="A309" s="23" t="s">
        <v>487</v>
      </c>
      <c r="B309" s="24">
        <v>45380</v>
      </c>
      <c r="C309" s="23" t="s">
        <v>338</v>
      </c>
      <c r="D309" s="23" t="s">
        <v>348</v>
      </c>
      <c r="E309" s="23" t="s">
        <v>353</v>
      </c>
      <c r="F309" s="23" t="s">
        <v>359</v>
      </c>
      <c r="G309" s="23" t="s">
        <v>362</v>
      </c>
      <c r="H309" s="23">
        <v>2</v>
      </c>
      <c r="I309" s="25">
        <v>2681</v>
      </c>
      <c r="J309" s="25">
        <v>533</v>
      </c>
      <c r="K309" s="25">
        <v>5362</v>
      </c>
      <c r="L309" s="25">
        <v>4296</v>
      </c>
      <c r="M309" s="23" t="s">
        <v>364</v>
      </c>
      <c r="N309" s="23" t="s">
        <v>414</v>
      </c>
    </row>
    <row r="310" spans="1:14" x14ac:dyDescent="0.35">
      <c r="A310" s="23" t="s">
        <v>218</v>
      </c>
      <c r="B310" s="24">
        <v>45639</v>
      </c>
      <c r="C310" s="23" t="s">
        <v>340</v>
      </c>
      <c r="D310" s="23" t="s">
        <v>348</v>
      </c>
      <c r="E310" s="23" t="s">
        <v>354</v>
      </c>
      <c r="F310" s="23" t="s">
        <v>357</v>
      </c>
      <c r="G310" s="23" t="s">
        <v>363</v>
      </c>
      <c r="H310" s="23">
        <v>5</v>
      </c>
      <c r="I310" s="25">
        <v>1941</v>
      </c>
      <c r="J310" s="25">
        <v>1596</v>
      </c>
      <c r="K310" s="25">
        <v>114885</v>
      </c>
      <c r="L310" s="25">
        <v>981225</v>
      </c>
      <c r="M310" s="23" t="s">
        <v>375</v>
      </c>
      <c r="N310" s="23" t="s">
        <v>416</v>
      </c>
    </row>
    <row r="311" spans="1:14" x14ac:dyDescent="0.35">
      <c r="A311" s="23" t="s">
        <v>488</v>
      </c>
      <c r="B311" s="24">
        <v>45371</v>
      </c>
      <c r="C311" s="23" t="s">
        <v>343</v>
      </c>
      <c r="D311" s="23" t="s">
        <v>346</v>
      </c>
      <c r="E311" s="23" t="s">
        <v>353</v>
      </c>
      <c r="F311" s="23" t="s">
        <v>355</v>
      </c>
      <c r="G311" s="23" t="s">
        <v>362</v>
      </c>
      <c r="H311" s="23">
        <v>138</v>
      </c>
      <c r="I311" s="25">
        <v>9395</v>
      </c>
      <c r="J311" s="25">
        <v>2368</v>
      </c>
      <c r="K311" s="25">
        <v>129651</v>
      </c>
      <c r="L311" s="25">
        <v>969726</v>
      </c>
      <c r="M311" s="23" t="s">
        <v>364</v>
      </c>
      <c r="N311" s="23" t="s">
        <v>414</v>
      </c>
    </row>
    <row r="312" spans="1:14" x14ac:dyDescent="0.35">
      <c r="A312" s="23" t="s">
        <v>467</v>
      </c>
      <c r="B312" s="24">
        <v>45495</v>
      </c>
      <c r="C312" s="23" t="s">
        <v>342</v>
      </c>
      <c r="D312" s="23" t="s">
        <v>348</v>
      </c>
      <c r="E312" s="23" t="s">
        <v>351</v>
      </c>
      <c r="F312" s="23" t="s">
        <v>381</v>
      </c>
      <c r="G312" s="23" t="s">
        <v>362</v>
      </c>
      <c r="H312" s="23">
        <v>127</v>
      </c>
      <c r="I312" s="25">
        <v>254</v>
      </c>
      <c r="J312" s="25">
        <v>6896</v>
      </c>
      <c r="K312" s="25">
        <v>26858</v>
      </c>
      <c r="L312" s="25">
        <v>614934</v>
      </c>
      <c r="M312" s="23" t="s">
        <v>372</v>
      </c>
      <c r="N312" s="23" t="s">
        <v>415</v>
      </c>
    </row>
    <row r="313" spans="1:14" x14ac:dyDescent="0.35">
      <c r="A313" s="23" t="s">
        <v>219</v>
      </c>
      <c r="B313" s="24">
        <v>45611</v>
      </c>
      <c r="C313" s="23" t="s">
        <v>338</v>
      </c>
      <c r="D313" s="23" t="s">
        <v>346</v>
      </c>
      <c r="E313" s="23" t="s">
        <v>354</v>
      </c>
      <c r="F313" s="23" t="s">
        <v>358</v>
      </c>
      <c r="G313" s="23" t="s">
        <v>363</v>
      </c>
      <c r="H313" s="23">
        <v>91</v>
      </c>
      <c r="I313" s="25">
        <v>2195</v>
      </c>
      <c r="J313" s="25">
        <v>45875</v>
      </c>
      <c r="K313" s="25">
        <v>199745</v>
      </c>
      <c r="L313" s="25">
        <v>52881</v>
      </c>
      <c r="M313" s="23" t="s">
        <v>373</v>
      </c>
      <c r="N313" s="23" t="s">
        <v>416</v>
      </c>
    </row>
    <row r="314" spans="1:14" x14ac:dyDescent="0.35">
      <c r="A314" s="23" t="s">
        <v>220</v>
      </c>
      <c r="B314" s="24">
        <v>45531</v>
      </c>
      <c r="C314" s="23" t="s">
        <v>343</v>
      </c>
      <c r="D314" s="23" t="s">
        <v>346</v>
      </c>
      <c r="E314" s="23" t="s">
        <v>353</v>
      </c>
      <c r="F314" s="23" t="s">
        <v>359</v>
      </c>
      <c r="G314" s="23" t="s">
        <v>363</v>
      </c>
      <c r="H314" s="23">
        <v>193</v>
      </c>
      <c r="I314" s="25">
        <v>314</v>
      </c>
      <c r="J314" s="25">
        <v>6246</v>
      </c>
      <c r="K314" s="25">
        <v>58172</v>
      </c>
      <c r="L314" s="25">
        <v>623776</v>
      </c>
      <c r="M314" s="23" t="s">
        <v>371</v>
      </c>
      <c r="N314" s="23" t="s">
        <v>415</v>
      </c>
    </row>
    <row r="315" spans="1:14" x14ac:dyDescent="0.35">
      <c r="A315" s="23" t="s">
        <v>455</v>
      </c>
      <c r="B315" s="24">
        <v>45304</v>
      </c>
      <c r="C315" s="23" t="s">
        <v>338</v>
      </c>
      <c r="D315" s="23" t="s">
        <v>348</v>
      </c>
      <c r="E315" s="23" t="s">
        <v>354</v>
      </c>
      <c r="F315" s="23" t="s">
        <v>356</v>
      </c>
      <c r="G315" s="23" t="s">
        <v>363</v>
      </c>
      <c r="H315" s="23">
        <v>13</v>
      </c>
      <c r="I315" s="25">
        <v>5874</v>
      </c>
      <c r="J315" s="25">
        <v>8331</v>
      </c>
      <c r="K315" s="25">
        <v>76362</v>
      </c>
      <c r="L315" s="25">
        <v>31941</v>
      </c>
      <c r="M315" s="23" t="s">
        <v>366</v>
      </c>
      <c r="N315" s="23" t="s">
        <v>414</v>
      </c>
    </row>
    <row r="316" spans="1:14" x14ac:dyDescent="0.35">
      <c r="A316" s="23" t="s">
        <v>221</v>
      </c>
      <c r="B316" s="24">
        <v>45779</v>
      </c>
      <c r="C316" s="23" t="s">
        <v>341</v>
      </c>
      <c r="D316" s="23" t="s">
        <v>346</v>
      </c>
      <c r="E316" s="23" t="s">
        <v>354</v>
      </c>
      <c r="F316" s="23" t="s">
        <v>357</v>
      </c>
      <c r="G316" s="23" t="s">
        <v>363</v>
      </c>
      <c r="H316" s="23">
        <v>41</v>
      </c>
      <c r="I316" s="25">
        <v>11572</v>
      </c>
      <c r="J316" s="25">
        <v>4632</v>
      </c>
      <c r="K316" s="25">
        <v>474452</v>
      </c>
      <c r="L316" s="25">
        <v>28454</v>
      </c>
      <c r="M316" s="23" t="s">
        <v>368</v>
      </c>
      <c r="N316" s="23" t="s">
        <v>417</v>
      </c>
    </row>
    <row r="317" spans="1:14" x14ac:dyDescent="0.35">
      <c r="A317" s="23" t="s">
        <v>468</v>
      </c>
      <c r="B317" s="24">
        <v>45393</v>
      </c>
      <c r="C317" s="23" t="s">
        <v>342</v>
      </c>
      <c r="D317" s="23" t="s">
        <v>346</v>
      </c>
      <c r="E317" s="23" t="s">
        <v>353</v>
      </c>
      <c r="F317" s="23" t="s">
        <v>357</v>
      </c>
      <c r="G317" s="23" t="s">
        <v>362</v>
      </c>
      <c r="H317" s="23">
        <v>13</v>
      </c>
      <c r="I317" s="25">
        <v>14951</v>
      </c>
      <c r="J317" s="25">
        <v>2454</v>
      </c>
      <c r="K317" s="25">
        <v>194363</v>
      </c>
      <c r="L317" s="25">
        <v>162461</v>
      </c>
      <c r="M317" s="23" t="s">
        <v>365</v>
      </c>
      <c r="N317" s="23" t="s">
        <v>413</v>
      </c>
    </row>
    <row r="318" spans="1:14" x14ac:dyDescent="0.35">
      <c r="A318" s="23" t="s">
        <v>222</v>
      </c>
      <c r="B318" s="24">
        <v>45745</v>
      </c>
      <c r="C318" s="23" t="s">
        <v>345</v>
      </c>
      <c r="D318" s="23" t="s">
        <v>381</v>
      </c>
      <c r="E318" s="23" t="s">
        <v>354</v>
      </c>
      <c r="F318" s="23" t="s">
        <v>360</v>
      </c>
      <c r="G318" s="23" t="s">
        <v>362</v>
      </c>
      <c r="H318" s="23">
        <v>223</v>
      </c>
      <c r="I318" s="25">
        <v>1299</v>
      </c>
      <c r="J318" s="25">
        <v>6636</v>
      </c>
      <c r="K318" s="25">
        <v>269877</v>
      </c>
      <c r="L318" s="25">
        <v>1218249</v>
      </c>
      <c r="M318" s="23" t="s">
        <v>364</v>
      </c>
      <c r="N318" s="23" t="s">
        <v>412</v>
      </c>
    </row>
    <row r="319" spans="1:14" x14ac:dyDescent="0.35">
      <c r="A319" s="23" t="s">
        <v>223</v>
      </c>
      <c r="B319" s="24">
        <v>45628</v>
      </c>
      <c r="C319" s="23" t="s">
        <v>344</v>
      </c>
      <c r="D319" s="23" t="s">
        <v>346</v>
      </c>
      <c r="E319" s="23" t="s">
        <v>352</v>
      </c>
      <c r="F319" s="23" t="s">
        <v>359</v>
      </c>
      <c r="G319" s="23" t="s">
        <v>362</v>
      </c>
      <c r="H319" s="23">
        <v>52</v>
      </c>
      <c r="I319" s="25">
        <v>13213</v>
      </c>
      <c r="J319" s="25">
        <v>493</v>
      </c>
      <c r="K319" s="25">
        <v>68776</v>
      </c>
      <c r="L319" s="25">
        <v>43212</v>
      </c>
      <c r="M319" s="23" t="s">
        <v>375</v>
      </c>
      <c r="N319" s="23" t="s">
        <v>416</v>
      </c>
    </row>
    <row r="320" spans="1:14" x14ac:dyDescent="0.35">
      <c r="A320" s="23" t="s">
        <v>224</v>
      </c>
      <c r="B320" s="24">
        <v>45507</v>
      </c>
      <c r="C320" s="23" t="s">
        <v>339</v>
      </c>
      <c r="D320" s="23" t="s">
        <v>350</v>
      </c>
      <c r="E320" s="23" t="s">
        <v>351</v>
      </c>
      <c r="F320" s="23" t="s">
        <v>358</v>
      </c>
      <c r="G320" s="23" t="s">
        <v>362</v>
      </c>
      <c r="H320" s="23">
        <v>1</v>
      </c>
      <c r="I320" s="25">
        <v>917</v>
      </c>
      <c r="J320" s="25">
        <v>815</v>
      </c>
      <c r="K320" s="25">
        <v>917</v>
      </c>
      <c r="L320" s="25">
        <v>192</v>
      </c>
      <c r="M320" s="23" t="s">
        <v>371</v>
      </c>
      <c r="N320" s="23" t="s">
        <v>415</v>
      </c>
    </row>
    <row r="321" spans="1:14" x14ac:dyDescent="0.35">
      <c r="A321" s="23" t="s">
        <v>225</v>
      </c>
      <c r="B321" s="24">
        <v>45776</v>
      </c>
      <c r="C321" s="23" t="s">
        <v>342</v>
      </c>
      <c r="D321" s="23" t="s">
        <v>348</v>
      </c>
      <c r="E321" s="23" t="s">
        <v>354</v>
      </c>
      <c r="F321" s="23" t="s">
        <v>355</v>
      </c>
      <c r="G321" s="23" t="s">
        <v>363</v>
      </c>
      <c r="H321" s="23">
        <v>38</v>
      </c>
      <c r="I321" s="25">
        <v>6824</v>
      </c>
      <c r="J321" s="25">
        <v>9379</v>
      </c>
      <c r="K321" s="25">
        <v>259312</v>
      </c>
      <c r="L321" s="25">
        <v>9791</v>
      </c>
      <c r="M321" s="23" t="s">
        <v>365</v>
      </c>
      <c r="N321" s="23" t="s">
        <v>417</v>
      </c>
    </row>
    <row r="322" spans="1:14" x14ac:dyDescent="0.35">
      <c r="A322" s="23" t="s">
        <v>489</v>
      </c>
      <c r="B322" s="24">
        <v>45699</v>
      </c>
      <c r="C322" s="23" t="s">
        <v>342</v>
      </c>
      <c r="D322" s="23" t="s">
        <v>350</v>
      </c>
      <c r="E322" s="23" t="s">
        <v>351</v>
      </c>
      <c r="F322" s="23" t="s">
        <v>357</v>
      </c>
      <c r="G322" s="23" t="s">
        <v>362</v>
      </c>
      <c r="H322" s="23">
        <v>3</v>
      </c>
      <c r="I322" s="25">
        <v>8919</v>
      </c>
      <c r="J322" s="25">
        <v>98</v>
      </c>
      <c r="K322" s="25">
        <v>26757</v>
      </c>
      <c r="L322" s="25">
        <v>2433</v>
      </c>
      <c r="M322" s="23" t="s">
        <v>374</v>
      </c>
      <c r="N322" s="23" t="s">
        <v>412</v>
      </c>
    </row>
    <row r="323" spans="1:14" x14ac:dyDescent="0.35">
      <c r="A323" s="23" t="s">
        <v>226</v>
      </c>
      <c r="B323" s="24">
        <v>45561</v>
      </c>
      <c r="C323" s="23" t="s">
        <v>345</v>
      </c>
      <c r="D323" s="23" t="s">
        <v>350</v>
      </c>
      <c r="E323" s="23" t="s">
        <v>352</v>
      </c>
      <c r="F323" s="23" t="s">
        <v>358</v>
      </c>
      <c r="G323" s="23" t="s">
        <v>363</v>
      </c>
      <c r="H323" s="23">
        <v>191</v>
      </c>
      <c r="I323" s="25">
        <v>8223</v>
      </c>
      <c r="J323" s="25">
        <v>7631</v>
      </c>
      <c r="K323" s="25">
        <v>157593</v>
      </c>
      <c r="L323" s="25">
        <v>11372</v>
      </c>
      <c r="M323" s="23" t="s">
        <v>367</v>
      </c>
      <c r="N323" s="23" t="s">
        <v>415</v>
      </c>
    </row>
    <row r="324" spans="1:14" x14ac:dyDescent="0.35">
      <c r="A324" s="23" t="s">
        <v>227</v>
      </c>
      <c r="B324" s="24">
        <v>45580</v>
      </c>
      <c r="C324" s="23" t="s">
        <v>342</v>
      </c>
      <c r="D324" s="23" t="s">
        <v>348</v>
      </c>
      <c r="E324" s="23" t="s">
        <v>352</v>
      </c>
      <c r="F324" s="23" t="s">
        <v>356</v>
      </c>
      <c r="G324" s="23" t="s">
        <v>363</v>
      </c>
      <c r="H324" s="23">
        <v>16</v>
      </c>
      <c r="I324" s="25">
        <v>1198</v>
      </c>
      <c r="J324" s="25">
        <v>2878</v>
      </c>
      <c r="K324" s="25">
        <v>177568</v>
      </c>
      <c r="L324" s="25">
        <v>13152</v>
      </c>
      <c r="M324" s="23" t="s">
        <v>369</v>
      </c>
      <c r="N324" s="23" t="s">
        <v>416</v>
      </c>
    </row>
    <row r="325" spans="1:14" x14ac:dyDescent="0.35">
      <c r="A325" s="23" t="s">
        <v>228</v>
      </c>
      <c r="B325" s="24">
        <v>45726</v>
      </c>
      <c r="C325" s="23" t="s">
        <v>345</v>
      </c>
      <c r="D325" s="23" t="s">
        <v>348</v>
      </c>
      <c r="E325" s="23" t="s">
        <v>351</v>
      </c>
      <c r="F325" s="23" t="s">
        <v>357</v>
      </c>
      <c r="G325" s="23" t="s">
        <v>362</v>
      </c>
      <c r="H325" s="23">
        <v>89</v>
      </c>
      <c r="I325" s="25">
        <v>8615</v>
      </c>
      <c r="J325" s="25">
        <v>1489</v>
      </c>
      <c r="K325" s="25">
        <v>766735</v>
      </c>
      <c r="L325" s="25">
        <v>634214</v>
      </c>
      <c r="M325" s="23" t="s">
        <v>364</v>
      </c>
      <c r="N325" s="23" t="s">
        <v>412</v>
      </c>
    </row>
    <row r="326" spans="1:14" x14ac:dyDescent="0.35">
      <c r="A326" s="23" t="s">
        <v>490</v>
      </c>
      <c r="B326" s="24">
        <v>45369</v>
      </c>
      <c r="C326" s="23" t="s">
        <v>342</v>
      </c>
      <c r="D326" s="23" t="s">
        <v>348</v>
      </c>
      <c r="E326" s="23" t="s">
        <v>353</v>
      </c>
      <c r="F326" s="23" t="s">
        <v>357</v>
      </c>
      <c r="G326" s="23" t="s">
        <v>363</v>
      </c>
      <c r="H326" s="23">
        <v>135</v>
      </c>
      <c r="I326" s="25">
        <v>14272</v>
      </c>
      <c r="J326" s="25">
        <v>2647</v>
      </c>
      <c r="K326" s="25">
        <v>192672</v>
      </c>
      <c r="L326" s="25">
        <v>1569375</v>
      </c>
      <c r="M326" s="23" t="s">
        <v>364</v>
      </c>
      <c r="N326" s="23" t="s">
        <v>414</v>
      </c>
    </row>
    <row r="327" spans="1:14" x14ac:dyDescent="0.35">
      <c r="A327" s="23" t="s">
        <v>491</v>
      </c>
      <c r="B327" s="24">
        <v>45334</v>
      </c>
      <c r="C327" s="23" t="s">
        <v>345</v>
      </c>
      <c r="D327" s="23" t="s">
        <v>350</v>
      </c>
      <c r="E327" s="23" t="s">
        <v>354</v>
      </c>
      <c r="F327" s="23" t="s">
        <v>360</v>
      </c>
      <c r="G327" s="23" t="s">
        <v>362</v>
      </c>
      <c r="H327" s="23">
        <v>91</v>
      </c>
      <c r="I327" s="25">
        <v>13422</v>
      </c>
      <c r="J327" s="25">
        <v>236</v>
      </c>
      <c r="K327" s="25">
        <v>122142</v>
      </c>
      <c r="L327" s="25">
        <v>111556</v>
      </c>
      <c r="M327" s="23" t="s">
        <v>374</v>
      </c>
      <c r="N327" s="23" t="s">
        <v>414</v>
      </c>
    </row>
    <row r="328" spans="1:14" x14ac:dyDescent="0.35">
      <c r="A328" s="23" t="s">
        <v>229</v>
      </c>
      <c r="B328" s="24">
        <v>45630</v>
      </c>
      <c r="C328" s="23" t="s">
        <v>340</v>
      </c>
      <c r="D328" s="23" t="s">
        <v>381</v>
      </c>
      <c r="E328" s="23" t="s">
        <v>353</v>
      </c>
      <c r="F328" s="23" t="s">
        <v>359</v>
      </c>
      <c r="G328" s="23" t="s">
        <v>362</v>
      </c>
      <c r="H328" s="23">
        <v>0</v>
      </c>
      <c r="I328" s="25">
        <v>1248</v>
      </c>
      <c r="J328" s="25">
        <v>358</v>
      </c>
      <c r="K328" s="25">
        <v>1327656</v>
      </c>
      <c r="L328" s="25">
        <v>145</v>
      </c>
      <c r="M328" s="23" t="s">
        <v>375</v>
      </c>
      <c r="N328" s="23" t="s">
        <v>416</v>
      </c>
    </row>
    <row r="329" spans="1:14" x14ac:dyDescent="0.35">
      <c r="A329" s="23" t="s">
        <v>230</v>
      </c>
      <c r="B329" s="24">
        <v>45419</v>
      </c>
      <c r="C329" s="23" t="s">
        <v>344</v>
      </c>
      <c r="D329" s="23" t="s">
        <v>350</v>
      </c>
      <c r="E329" s="23" t="s">
        <v>352</v>
      </c>
      <c r="F329" s="23" t="s">
        <v>361</v>
      </c>
      <c r="G329" s="23" t="s">
        <v>362</v>
      </c>
      <c r="H329" s="23">
        <v>85</v>
      </c>
      <c r="I329" s="25">
        <v>11449</v>
      </c>
      <c r="J329" s="25">
        <v>493</v>
      </c>
      <c r="K329" s="25">
        <v>973165</v>
      </c>
      <c r="L329" s="25">
        <v>55641</v>
      </c>
      <c r="M329" s="23" t="s">
        <v>368</v>
      </c>
      <c r="N329" s="23" t="s">
        <v>413</v>
      </c>
    </row>
    <row r="330" spans="1:14" x14ac:dyDescent="0.35">
      <c r="A330" s="23" t="s">
        <v>492</v>
      </c>
      <c r="B330" s="24">
        <v>45391</v>
      </c>
      <c r="C330" s="23" t="s">
        <v>345</v>
      </c>
      <c r="D330" s="23" t="s">
        <v>348</v>
      </c>
      <c r="E330" s="23" t="s">
        <v>351</v>
      </c>
      <c r="F330" s="23" t="s">
        <v>356</v>
      </c>
      <c r="G330" s="23" t="s">
        <v>363</v>
      </c>
      <c r="H330" s="23">
        <v>226</v>
      </c>
      <c r="I330" s="25">
        <v>12287</v>
      </c>
      <c r="J330" s="25">
        <v>563</v>
      </c>
      <c r="K330" s="25">
        <v>2776862</v>
      </c>
      <c r="L330" s="25">
        <v>2649624</v>
      </c>
      <c r="M330" s="23" t="s">
        <v>365</v>
      </c>
      <c r="N330" s="23" t="s">
        <v>413</v>
      </c>
    </row>
    <row r="331" spans="1:14" x14ac:dyDescent="0.35">
      <c r="A331" s="23" t="s">
        <v>231</v>
      </c>
      <c r="B331" s="24">
        <v>45716</v>
      </c>
      <c r="C331" s="23" t="s">
        <v>338</v>
      </c>
      <c r="D331" s="23" t="s">
        <v>350</v>
      </c>
      <c r="E331" s="23" t="s">
        <v>354</v>
      </c>
      <c r="F331" s="23" t="s">
        <v>358</v>
      </c>
      <c r="G331" s="23" t="s">
        <v>362</v>
      </c>
      <c r="H331" s="23">
        <v>284</v>
      </c>
      <c r="I331" s="25">
        <v>3265</v>
      </c>
      <c r="J331" s="25">
        <v>876</v>
      </c>
      <c r="K331" s="25">
        <v>92726</v>
      </c>
      <c r="L331" s="25">
        <v>15658</v>
      </c>
      <c r="M331" s="23" t="s">
        <v>374</v>
      </c>
      <c r="N331" s="23" t="s">
        <v>412</v>
      </c>
    </row>
    <row r="332" spans="1:14" x14ac:dyDescent="0.35">
      <c r="A332" s="23" t="s">
        <v>232</v>
      </c>
      <c r="B332" s="24">
        <v>45654</v>
      </c>
      <c r="C332" s="23" t="s">
        <v>342</v>
      </c>
      <c r="D332" s="23" t="s">
        <v>350</v>
      </c>
      <c r="E332" s="23" t="s">
        <v>352</v>
      </c>
      <c r="F332" s="23" t="s">
        <v>355</v>
      </c>
      <c r="G332" s="23" t="s">
        <v>363</v>
      </c>
      <c r="H332" s="23">
        <v>0</v>
      </c>
      <c r="I332" s="25">
        <v>9366</v>
      </c>
      <c r="J332" s="25">
        <v>6957</v>
      </c>
      <c r="K332" s="25">
        <v>0</v>
      </c>
      <c r="L332" s="25">
        <v>0</v>
      </c>
      <c r="M332" s="23" t="s">
        <v>375</v>
      </c>
      <c r="N332" s="23" t="s">
        <v>416</v>
      </c>
    </row>
    <row r="333" spans="1:14" x14ac:dyDescent="0.35">
      <c r="A333" s="23" t="s">
        <v>493</v>
      </c>
      <c r="B333" s="24">
        <v>45356</v>
      </c>
      <c r="C333" s="23" t="s">
        <v>344</v>
      </c>
      <c r="D333" s="23" t="s">
        <v>346</v>
      </c>
      <c r="E333" s="23" t="s">
        <v>351</v>
      </c>
      <c r="F333" s="23" t="s">
        <v>356</v>
      </c>
      <c r="G333" s="23" t="s">
        <v>362</v>
      </c>
      <c r="H333" s="23">
        <v>7</v>
      </c>
      <c r="I333" s="25">
        <v>5624</v>
      </c>
      <c r="J333" s="25">
        <v>198</v>
      </c>
      <c r="K333" s="25">
        <v>1164168</v>
      </c>
      <c r="L333" s="25">
        <v>936882</v>
      </c>
      <c r="M333" s="23" t="s">
        <v>364</v>
      </c>
      <c r="N333" s="23" t="s">
        <v>414</v>
      </c>
    </row>
    <row r="334" spans="1:14" x14ac:dyDescent="0.35">
      <c r="A334" s="23" t="s">
        <v>233</v>
      </c>
      <c r="B334" s="24">
        <v>45483</v>
      </c>
      <c r="C334" s="23" t="s">
        <v>338</v>
      </c>
      <c r="D334" s="23" t="s">
        <v>346</v>
      </c>
      <c r="E334" s="23" t="s">
        <v>353</v>
      </c>
      <c r="F334" s="23" t="s">
        <v>361</v>
      </c>
      <c r="G334" s="23" t="s">
        <v>362</v>
      </c>
      <c r="H334" s="23">
        <v>239</v>
      </c>
      <c r="I334" s="25">
        <v>5872</v>
      </c>
      <c r="J334" s="25">
        <v>8649</v>
      </c>
      <c r="K334" s="25">
        <v>14348</v>
      </c>
      <c r="L334" s="25">
        <v>66373</v>
      </c>
      <c r="M334" s="23" t="s">
        <v>372</v>
      </c>
      <c r="N334" s="23" t="s">
        <v>415</v>
      </c>
    </row>
    <row r="335" spans="1:14" x14ac:dyDescent="0.35">
      <c r="A335" s="23" t="s">
        <v>234</v>
      </c>
      <c r="B335" s="24">
        <v>45474</v>
      </c>
      <c r="C335" s="23" t="s">
        <v>345</v>
      </c>
      <c r="D335" s="23" t="s">
        <v>346</v>
      </c>
      <c r="E335" s="23" t="s">
        <v>352</v>
      </c>
      <c r="F335" s="23" t="s">
        <v>359</v>
      </c>
      <c r="G335" s="23" t="s">
        <v>363</v>
      </c>
      <c r="H335" s="23">
        <v>246</v>
      </c>
      <c r="I335" s="25">
        <v>1686</v>
      </c>
      <c r="J335" s="25">
        <v>5462</v>
      </c>
      <c r="K335" s="25">
        <v>414756</v>
      </c>
      <c r="L335" s="25">
        <v>928896</v>
      </c>
      <c r="M335" s="23" t="s">
        <v>372</v>
      </c>
      <c r="N335" s="23" t="s">
        <v>415</v>
      </c>
    </row>
    <row r="336" spans="1:14" x14ac:dyDescent="0.35">
      <c r="A336" s="23" t="s">
        <v>494</v>
      </c>
      <c r="B336" s="24">
        <v>45360</v>
      </c>
      <c r="C336" s="23" t="s">
        <v>340</v>
      </c>
      <c r="D336" s="23" t="s">
        <v>350</v>
      </c>
      <c r="E336" s="23" t="s">
        <v>351</v>
      </c>
      <c r="F336" s="23" t="s">
        <v>357</v>
      </c>
      <c r="G336" s="23" t="s">
        <v>362</v>
      </c>
      <c r="H336" s="23">
        <v>216</v>
      </c>
      <c r="I336" s="25">
        <v>148</v>
      </c>
      <c r="J336" s="25">
        <v>4571</v>
      </c>
      <c r="K336" s="25">
        <v>31968</v>
      </c>
      <c r="L336" s="25">
        <v>229464</v>
      </c>
      <c r="M336" s="23" t="s">
        <v>364</v>
      </c>
      <c r="N336" s="23" t="s">
        <v>414</v>
      </c>
    </row>
    <row r="337" spans="1:14" x14ac:dyDescent="0.35">
      <c r="A337" s="23" t="s">
        <v>235</v>
      </c>
      <c r="B337" s="24">
        <v>45466</v>
      </c>
      <c r="C337" s="23" t="s">
        <v>344</v>
      </c>
      <c r="D337" s="23" t="s">
        <v>346</v>
      </c>
      <c r="E337" s="23" t="s">
        <v>354</v>
      </c>
      <c r="F337" s="23" t="s">
        <v>361</v>
      </c>
      <c r="G337" s="23" t="s">
        <v>362</v>
      </c>
      <c r="H337" s="23">
        <v>224</v>
      </c>
      <c r="I337" s="25">
        <v>7181</v>
      </c>
      <c r="J337" s="25">
        <v>194</v>
      </c>
      <c r="K337" s="25">
        <v>168544</v>
      </c>
      <c r="L337" s="25">
        <v>118248</v>
      </c>
      <c r="M337" s="23" t="s">
        <v>370</v>
      </c>
      <c r="N337" s="23" t="s">
        <v>413</v>
      </c>
    </row>
    <row r="338" spans="1:14" x14ac:dyDescent="0.35">
      <c r="A338" s="23" t="s">
        <v>495</v>
      </c>
      <c r="B338" s="24">
        <v>45367</v>
      </c>
      <c r="C338" s="23" t="s">
        <v>339</v>
      </c>
      <c r="D338" s="23" t="s">
        <v>348</v>
      </c>
      <c r="E338" s="23" t="s">
        <v>353</v>
      </c>
      <c r="F338" s="23" t="s">
        <v>358</v>
      </c>
      <c r="G338" s="23" t="s">
        <v>363</v>
      </c>
      <c r="H338" s="23">
        <v>8</v>
      </c>
      <c r="I338" s="25">
        <v>1378</v>
      </c>
      <c r="J338" s="25">
        <v>6984</v>
      </c>
      <c r="K338" s="25">
        <v>2835745</v>
      </c>
      <c r="L338" s="25">
        <v>53792</v>
      </c>
      <c r="M338" s="23" t="s">
        <v>364</v>
      </c>
      <c r="N338" s="23" t="s">
        <v>414</v>
      </c>
    </row>
    <row r="339" spans="1:14" x14ac:dyDescent="0.35">
      <c r="A339" s="23" t="s">
        <v>427</v>
      </c>
      <c r="B339" s="24">
        <v>45340</v>
      </c>
      <c r="C339" s="23" t="s">
        <v>340</v>
      </c>
      <c r="D339" s="23" t="s">
        <v>350</v>
      </c>
      <c r="E339" s="23" t="s">
        <v>352</v>
      </c>
      <c r="F339" s="23" t="s">
        <v>360</v>
      </c>
      <c r="G339" s="23" t="s">
        <v>362</v>
      </c>
      <c r="H339" s="23">
        <v>1</v>
      </c>
      <c r="I339" s="25">
        <v>885</v>
      </c>
      <c r="J339" s="25">
        <v>649</v>
      </c>
      <c r="K339" s="25">
        <v>885</v>
      </c>
      <c r="L339" s="25">
        <v>236</v>
      </c>
      <c r="M339" s="23" t="s">
        <v>374</v>
      </c>
      <c r="N339" s="23" t="s">
        <v>414</v>
      </c>
    </row>
    <row r="340" spans="1:14" x14ac:dyDescent="0.35">
      <c r="A340" s="23" t="s">
        <v>496</v>
      </c>
      <c r="B340" s="24">
        <v>45354</v>
      </c>
      <c r="C340" s="23" t="s">
        <v>344</v>
      </c>
      <c r="D340" s="23" t="s">
        <v>348</v>
      </c>
      <c r="E340" s="23" t="s">
        <v>353</v>
      </c>
      <c r="F340" s="23" t="s">
        <v>360</v>
      </c>
      <c r="G340" s="23" t="s">
        <v>362</v>
      </c>
      <c r="H340" s="23">
        <v>295</v>
      </c>
      <c r="I340" s="25">
        <v>3228</v>
      </c>
      <c r="J340" s="25">
        <v>5984</v>
      </c>
      <c r="K340" s="25">
        <v>95226</v>
      </c>
      <c r="L340" s="25">
        <v>8132</v>
      </c>
      <c r="M340" s="23" t="s">
        <v>364</v>
      </c>
      <c r="N340" s="23" t="s">
        <v>414</v>
      </c>
    </row>
    <row r="341" spans="1:14" x14ac:dyDescent="0.35">
      <c r="A341" s="23" t="s">
        <v>236</v>
      </c>
      <c r="B341" s="24">
        <v>45536</v>
      </c>
      <c r="C341" s="23" t="s">
        <v>343</v>
      </c>
      <c r="D341" s="23" t="s">
        <v>348</v>
      </c>
      <c r="E341" s="23" t="s">
        <v>351</v>
      </c>
      <c r="F341" s="23" t="s">
        <v>358</v>
      </c>
      <c r="G341" s="23" t="s">
        <v>363</v>
      </c>
      <c r="H341" s="23">
        <v>67</v>
      </c>
      <c r="I341" s="25">
        <v>14744</v>
      </c>
      <c r="J341" s="25">
        <v>5492</v>
      </c>
      <c r="K341" s="25">
        <v>987848</v>
      </c>
      <c r="L341" s="25">
        <v>619884</v>
      </c>
      <c r="M341" s="23" t="s">
        <v>367</v>
      </c>
      <c r="N341" s="23" t="s">
        <v>415</v>
      </c>
    </row>
    <row r="342" spans="1:14" x14ac:dyDescent="0.35">
      <c r="A342" s="23" t="s">
        <v>470</v>
      </c>
      <c r="B342" s="24">
        <v>45599</v>
      </c>
      <c r="C342" s="23" t="s">
        <v>345</v>
      </c>
      <c r="D342" s="23" t="s">
        <v>381</v>
      </c>
      <c r="E342" s="23" t="s">
        <v>352</v>
      </c>
      <c r="F342" s="23" t="s">
        <v>360</v>
      </c>
      <c r="G342" s="23" t="s">
        <v>363</v>
      </c>
      <c r="H342" s="23">
        <v>175</v>
      </c>
      <c r="I342" s="25">
        <v>6867</v>
      </c>
      <c r="J342" s="25">
        <v>9688</v>
      </c>
      <c r="K342" s="25">
        <v>121725</v>
      </c>
      <c r="L342" s="25">
        <v>493675</v>
      </c>
      <c r="M342" s="23" t="s">
        <v>373</v>
      </c>
      <c r="N342" s="23" t="s">
        <v>416</v>
      </c>
    </row>
    <row r="343" spans="1:14" x14ac:dyDescent="0.35">
      <c r="A343" s="23" t="s">
        <v>237</v>
      </c>
      <c r="B343" s="24">
        <v>45631</v>
      </c>
      <c r="C343" s="23" t="s">
        <v>343</v>
      </c>
      <c r="D343" s="23" t="s">
        <v>348</v>
      </c>
      <c r="E343" s="23" t="s">
        <v>353</v>
      </c>
      <c r="F343" s="23" t="s">
        <v>355</v>
      </c>
      <c r="G343" s="23" t="s">
        <v>362</v>
      </c>
      <c r="H343" s="23">
        <v>4</v>
      </c>
      <c r="I343" s="25">
        <v>214</v>
      </c>
      <c r="J343" s="25">
        <v>711</v>
      </c>
      <c r="K343" s="25">
        <v>8416</v>
      </c>
      <c r="L343" s="25">
        <v>19628</v>
      </c>
      <c r="M343" s="23" t="s">
        <v>375</v>
      </c>
      <c r="N343" s="23" t="s">
        <v>416</v>
      </c>
    </row>
    <row r="344" spans="1:14" x14ac:dyDescent="0.35">
      <c r="A344" s="23" t="s">
        <v>238</v>
      </c>
      <c r="B344" s="24">
        <v>45553</v>
      </c>
      <c r="C344" s="23" t="s">
        <v>340</v>
      </c>
      <c r="D344" s="23" t="s">
        <v>381</v>
      </c>
      <c r="E344" s="23" t="s">
        <v>351</v>
      </c>
      <c r="F344" s="23" t="s">
        <v>356</v>
      </c>
      <c r="G344" s="23" t="s">
        <v>362</v>
      </c>
      <c r="H344" s="23">
        <v>225</v>
      </c>
      <c r="I344" s="25">
        <v>786</v>
      </c>
      <c r="J344" s="25">
        <v>359</v>
      </c>
      <c r="K344" s="25">
        <v>17685</v>
      </c>
      <c r="L344" s="25">
        <v>9675</v>
      </c>
      <c r="M344" s="23" t="s">
        <v>367</v>
      </c>
      <c r="N344" s="23" t="s">
        <v>415</v>
      </c>
    </row>
    <row r="345" spans="1:14" x14ac:dyDescent="0.35">
      <c r="A345" s="23" t="s">
        <v>497</v>
      </c>
      <c r="B345" s="24">
        <v>45361</v>
      </c>
      <c r="C345" s="23" t="s">
        <v>338</v>
      </c>
      <c r="D345" s="23" t="s">
        <v>348</v>
      </c>
      <c r="E345" s="23" t="s">
        <v>352</v>
      </c>
      <c r="F345" s="23" t="s">
        <v>357</v>
      </c>
      <c r="G345" s="23" t="s">
        <v>363</v>
      </c>
      <c r="H345" s="23">
        <v>0</v>
      </c>
      <c r="I345" s="25">
        <v>1623</v>
      </c>
      <c r="J345" s="25">
        <v>214</v>
      </c>
      <c r="K345" s="25">
        <v>2666373</v>
      </c>
      <c r="L345" s="25">
        <v>216859</v>
      </c>
      <c r="M345" s="23" t="s">
        <v>364</v>
      </c>
      <c r="N345" s="23" t="s">
        <v>414</v>
      </c>
    </row>
    <row r="346" spans="1:14" x14ac:dyDescent="0.35">
      <c r="A346" s="23" t="s">
        <v>460</v>
      </c>
      <c r="B346" s="24">
        <v>45432</v>
      </c>
      <c r="C346" s="23" t="s">
        <v>344</v>
      </c>
      <c r="D346" s="23" t="s">
        <v>346</v>
      </c>
      <c r="E346" s="23" t="s">
        <v>351</v>
      </c>
      <c r="F346" s="23" t="s">
        <v>357</v>
      </c>
      <c r="G346" s="23" t="s">
        <v>362</v>
      </c>
      <c r="H346" s="23">
        <v>23</v>
      </c>
      <c r="I346" s="25">
        <v>11863</v>
      </c>
      <c r="J346" s="25">
        <v>2489</v>
      </c>
      <c r="K346" s="25">
        <v>272849</v>
      </c>
      <c r="L346" s="25">
        <v>21562</v>
      </c>
      <c r="M346" s="23" t="s">
        <v>368</v>
      </c>
      <c r="N346" s="23" t="s">
        <v>413</v>
      </c>
    </row>
    <row r="347" spans="1:14" x14ac:dyDescent="0.35">
      <c r="A347" s="23" t="s">
        <v>498</v>
      </c>
      <c r="B347" s="24">
        <v>45364</v>
      </c>
      <c r="C347" s="23" t="s">
        <v>343</v>
      </c>
      <c r="D347" s="23" t="s">
        <v>346</v>
      </c>
      <c r="E347" s="23" t="s">
        <v>354</v>
      </c>
      <c r="F347" s="23" t="s">
        <v>356</v>
      </c>
      <c r="G347" s="23" t="s">
        <v>362</v>
      </c>
      <c r="H347" s="23">
        <v>156</v>
      </c>
      <c r="I347" s="25">
        <v>123</v>
      </c>
      <c r="J347" s="25">
        <v>7376</v>
      </c>
      <c r="K347" s="25">
        <v>19188</v>
      </c>
      <c r="L347" s="25">
        <v>768144</v>
      </c>
      <c r="M347" s="23" t="s">
        <v>364</v>
      </c>
      <c r="N347" s="23" t="s">
        <v>414</v>
      </c>
    </row>
    <row r="348" spans="1:14" x14ac:dyDescent="0.35">
      <c r="A348" s="23" t="s">
        <v>239</v>
      </c>
      <c r="B348" s="24">
        <v>45729</v>
      </c>
      <c r="C348" s="23" t="s">
        <v>340</v>
      </c>
      <c r="D348" s="23" t="s">
        <v>381</v>
      </c>
      <c r="E348" s="23" t="s">
        <v>353</v>
      </c>
      <c r="F348" s="23" t="s">
        <v>355</v>
      </c>
      <c r="G348" s="23" t="s">
        <v>363</v>
      </c>
      <c r="H348" s="23">
        <v>195</v>
      </c>
      <c r="I348" s="25">
        <v>12996</v>
      </c>
      <c r="J348" s="25">
        <v>1961</v>
      </c>
      <c r="K348" s="25">
        <v>253422</v>
      </c>
      <c r="L348" s="25">
        <v>2151825</v>
      </c>
      <c r="M348" s="23" t="s">
        <v>364</v>
      </c>
      <c r="N348" s="23" t="s">
        <v>412</v>
      </c>
    </row>
    <row r="349" spans="1:14" x14ac:dyDescent="0.35">
      <c r="A349" s="23" t="s">
        <v>424</v>
      </c>
      <c r="B349" s="24">
        <v>45542</v>
      </c>
      <c r="C349" s="23" t="s">
        <v>342</v>
      </c>
      <c r="D349" s="23" t="s">
        <v>348</v>
      </c>
      <c r="E349" s="23" t="s">
        <v>352</v>
      </c>
      <c r="F349" s="23" t="s">
        <v>356</v>
      </c>
      <c r="G349" s="23" t="s">
        <v>362</v>
      </c>
      <c r="H349" s="23">
        <v>32</v>
      </c>
      <c r="I349" s="25">
        <v>424</v>
      </c>
      <c r="J349" s="25">
        <v>355</v>
      </c>
      <c r="K349" s="25">
        <v>13568</v>
      </c>
      <c r="L349" s="25">
        <v>228</v>
      </c>
      <c r="M349" s="23" t="s">
        <v>367</v>
      </c>
      <c r="N349" s="23" t="s">
        <v>415</v>
      </c>
    </row>
    <row r="350" spans="1:14" x14ac:dyDescent="0.35">
      <c r="A350" s="23" t="s">
        <v>240</v>
      </c>
      <c r="B350" s="24">
        <v>45678</v>
      </c>
      <c r="C350" s="23" t="s">
        <v>340</v>
      </c>
      <c r="D350" s="23" t="s">
        <v>346</v>
      </c>
      <c r="E350" s="23" t="s">
        <v>351</v>
      </c>
      <c r="F350" s="23" t="s">
        <v>360</v>
      </c>
      <c r="G350" s="23" t="s">
        <v>363</v>
      </c>
      <c r="H350" s="23">
        <v>93</v>
      </c>
      <c r="I350" s="25">
        <v>6286</v>
      </c>
      <c r="J350" s="25">
        <v>737</v>
      </c>
      <c r="K350" s="25">
        <v>584598</v>
      </c>
      <c r="L350" s="25">
        <v>1812</v>
      </c>
      <c r="M350" s="23" t="s">
        <v>366</v>
      </c>
      <c r="N350" s="23" t="s">
        <v>412</v>
      </c>
    </row>
    <row r="351" spans="1:14" x14ac:dyDescent="0.35">
      <c r="A351" s="23" t="s">
        <v>241</v>
      </c>
      <c r="B351" s="24">
        <v>45747</v>
      </c>
      <c r="C351" s="23" t="s">
        <v>340</v>
      </c>
      <c r="D351" s="23" t="s">
        <v>348</v>
      </c>
      <c r="E351" s="23" t="s">
        <v>352</v>
      </c>
      <c r="F351" s="23" t="s">
        <v>357</v>
      </c>
      <c r="G351" s="23" t="s">
        <v>363</v>
      </c>
      <c r="H351" s="23">
        <v>267</v>
      </c>
      <c r="I351" s="25">
        <v>9965</v>
      </c>
      <c r="J351" s="25">
        <v>778</v>
      </c>
      <c r="K351" s="25">
        <v>266655</v>
      </c>
      <c r="L351" s="25">
        <v>583395</v>
      </c>
      <c r="M351" s="23" t="s">
        <v>364</v>
      </c>
      <c r="N351" s="23" t="s">
        <v>412</v>
      </c>
    </row>
    <row r="352" spans="1:14" x14ac:dyDescent="0.35">
      <c r="A352" s="23" t="s">
        <v>242</v>
      </c>
      <c r="B352" s="24">
        <v>45417</v>
      </c>
      <c r="C352" s="23" t="s">
        <v>338</v>
      </c>
      <c r="D352" s="23" t="s">
        <v>348</v>
      </c>
      <c r="E352" s="23" t="s">
        <v>352</v>
      </c>
      <c r="F352" s="23" t="s">
        <v>357</v>
      </c>
      <c r="G352" s="23" t="s">
        <v>362</v>
      </c>
      <c r="H352" s="23">
        <v>186</v>
      </c>
      <c r="I352" s="25">
        <v>2443</v>
      </c>
      <c r="J352" s="25">
        <v>7718</v>
      </c>
      <c r="K352" s="25">
        <v>454398</v>
      </c>
      <c r="L352" s="25">
        <v>98115</v>
      </c>
      <c r="M352" s="23" t="s">
        <v>368</v>
      </c>
      <c r="N352" s="23" t="s">
        <v>413</v>
      </c>
    </row>
    <row r="353" spans="1:14" x14ac:dyDescent="0.35">
      <c r="A353" s="23" t="s">
        <v>243</v>
      </c>
      <c r="B353" s="24">
        <v>45458</v>
      </c>
      <c r="C353" s="23" t="s">
        <v>345</v>
      </c>
      <c r="D353" s="23" t="s">
        <v>348</v>
      </c>
      <c r="E353" s="23" t="s">
        <v>352</v>
      </c>
      <c r="F353" s="23" t="s">
        <v>361</v>
      </c>
      <c r="G353" s="23" t="s">
        <v>362</v>
      </c>
      <c r="H353" s="23">
        <v>8</v>
      </c>
      <c r="I353" s="25">
        <v>2999</v>
      </c>
      <c r="J353" s="25">
        <v>227</v>
      </c>
      <c r="K353" s="25">
        <v>23992</v>
      </c>
      <c r="L353" s="25">
        <v>7776</v>
      </c>
      <c r="M353" s="23" t="s">
        <v>370</v>
      </c>
      <c r="N353" s="23" t="s">
        <v>413</v>
      </c>
    </row>
    <row r="354" spans="1:14" x14ac:dyDescent="0.35">
      <c r="A354" s="23" t="s">
        <v>244</v>
      </c>
      <c r="B354" s="24">
        <v>45489</v>
      </c>
      <c r="C354" s="23" t="s">
        <v>343</v>
      </c>
      <c r="D354" s="23" t="s">
        <v>350</v>
      </c>
      <c r="E354" s="23" t="s">
        <v>354</v>
      </c>
      <c r="F354" s="23" t="s">
        <v>356</v>
      </c>
      <c r="G354" s="23" t="s">
        <v>362</v>
      </c>
      <c r="H354" s="23">
        <v>258</v>
      </c>
      <c r="I354" s="25">
        <v>132</v>
      </c>
      <c r="J354" s="25">
        <v>3852</v>
      </c>
      <c r="K354" s="25">
        <v>266256</v>
      </c>
      <c r="L354" s="25">
        <v>72756</v>
      </c>
      <c r="M354" s="23" t="s">
        <v>372</v>
      </c>
      <c r="N354" s="23" t="s">
        <v>415</v>
      </c>
    </row>
    <row r="355" spans="1:14" x14ac:dyDescent="0.35">
      <c r="A355" s="23" t="s">
        <v>245</v>
      </c>
      <c r="B355" s="24">
        <v>45715</v>
      </c>
      <c r="C355" s="23" t="s">
        <v>344</v>
      </c>
      <c r="D355" s="23" t="s">
        <v>348</v>
      </c>
      <c r="E355" s="23" t="s">
        <v>353</v>
      </c>
      <c r="F355" s="23" t="s">
        <v>356</v>
      </c>
      <c r="G355" s="23" t="s">
        <v>362</v>
      </c>
      <c r="H355" s="23">
        <v>43</v>
      </c>
      <c r="I355" s="25">
        <v>3475</v>
      </c>
      <c r="J355" s="25">
        <v>4969</v>
      </c>
      <c r="K355" s="25">
        <v>149425</v>
      </c>
      <c r="L355" s="25">
        <v>64242</v>
      </c>
      <c r="M355" s="23" t="s">
        <v>374</v>
      </c>
      <c r="N355" s="23" t="s">
        <v>412</v>
      </c>
    </row>
    <row r="356" spans="1:14" x14ac:dyDescent="0.35">
      <c r="A356" s="23" t="s">
        <v>499</v>
      </c>
      <c r="B356" s="24">
        <v>45387</v>
      </c>
      <c r="C356" s="23" t="s">
        <v>342</v>
      </c>
      <c r="D356" s="23" t="s">
        <v>350</v>
      </c>
      <c r="E356" s="23" t="s">
        <v>353</v>
      </c>
      <c r="F356" s="23" t="s">
        <v>356</v>
      </c>
      <c r="G356" s="23" t="s">
        <v>362</v>
      </c>
      <c r="H356" s="23">
        <v>98</v>
      </c>
      <c r="I356" s="25">
        <v>6515</v>
      </c>
      <c r="J356" s="25">
        <v>8648</v>
      </c>
      <c r="K356" s="25">
        <v>63847</v>
      </c>
      <c r="L356" s="25">
        <v>2934</v>
      </c>
      <c r="M356" s="23" t="s">
        <v>365</v>
      </c>
      <c r="N356" s="23" t="s">
        <v>413</v>
      </c>
    </row>
    <row r="357" spans="1:14" x14ac:dyDescent="0.35">
      <c r="A357" s="23" t="s">
        <v>246</v>
      </c>
      <c r="B357" s="24">
        <v>45786</v>
      </c>
      <c r="C357" s="23" t="s">
        <v>341</v>
      </c>
      <c r="D357" s="23" t="s">
        <v>346</v>
      </c>
      <c r="E357" s="23" t="s">
        <v>352</v>
      </c>
      <c r="F357" s="23" t="s">
        <v>360</v>
      </c>
      <c r="G357" s="23" t="s">
        <v>363</v>
      </c>
      <c r="H357" s="23">
        <v>22</v>
      </c>
      <c r="I357" s="25">
        <v>826</v>
      </c>
      <c r="J357" s="25">
        <v>9658</v>
      </c>
      <c r="K357" s="25">
        <v>18172</v>
      </c>
      <c r="L357" s="25">
        <v>19434</v>
      </c>
      <c r="M357" s="23" t="s">
        <v>368</v>
      </c>
      <c r="N357" s="23" t="s">
        <v>417</v>
      </c>
    </row>
    <row r="358" spans="1:14" x14ac:dyDescent="0.35">
      <c r="A358" s="23" t="s">
        <v>449</v>
      </c>
      <c r="B358" s="24">
        <v>45395</v>
      </c>
      <c r="C358" s="23" t="s">
        <v>344</v>
      </c>
      <c r="D358" s="23" t="s">
        <v>348</v>
      </c>
      <c r="E358" s="23" t="s">
        <v>353</v>
      </c>
      <c r="F358" s="23" t="s">
        <v>357</v>
      </c>
      <c r="G358" s="23" t="s">
        <v>362</v>
      </c>
      <c r="H358" s="23">
        <v>4</v>
      </c>
      <c r="I358" s="25">
        <v>1165</v>
      </c>
      <c r="J358" s="25">
        <v>954</v>
      </c>
      <c r="K358" s="25">
        <v>466</v>
      </c>
      <c r="L358" s="25">
        <v>42784</v>
      </c>
      <c r="M358" s="23" t="s">
        <v>365</v>
      </c>
      <c r="N358" s="23" t="s">
        <v>413</v>
      </c>
    </row>
    <row r="359" spans="1:14" x14ac:dyDescent="0.35">
      <c r="A359" s="23" t="s">
        <v>247</v>
      </c>
      <c r="B359" s="24">
        <v>45485</v>
      </c>
      <c r="C359" s="23" t="s">
        <v>339</v>
      </c>
      <c r="D359" s="23" t="s">
        <v>381</v>
      </c>
      <c r="E359" s="23" t="s">
        <v>353</v>
      </c>
      <c r="F359" s="23" t="s">
        <v>361</v>
      </c>
      <c r="G359" s="23" t="s">
        <v>363</v>
      </c>
      <c r="H359" s="23">
        <v>96</v>
      </c>
      <c r="I359" s="25">
        <v>9465</v>
      </c>
      <c r="J359" s="25">
        <v>6621</v>
      </c>
      <c r="K359" s="25">
        <v>9864</v>
      </c>
      <c r="L359" s="25">
        <v>27324</v>
      </c>
      <c r="M359" s="23" t="s">
        <v>372</v>
      </c>
      <c r="N359" s="23" t="s">
        <v>415</v>
      </c>
    </row>
    <row r="360" spans="1:14" x14ac:dyDescent="0.35">
      <c r="A360" s="23" t="s">
        <v>500</v>
      </c>
      <c r="B360" s="24">
        <v>45379</v>
      </c>
      <c r="C360" s="23" t="s">
        <v>339</v>
      </c>
      <c r="D360" s="23" t="s">
        <v>348</v>
      </c>
      <c r="E360" s="23" t="s">
        <v>353</v>
      </c>
      <c r="F360" s="23" t="s">
        <v>356</v>
      </c>
      <c r="G360" s="23" t="s">
        <v>363</v>
      </c>
      <c r="H360" s="23">
        <v>134</v>
      </c>
      <c r="I360" s="25">
        <v>14816</v>
      </c>
      <c r="J360" s="25">
        <v>9172</v>
      </c>
      <c r="K360" s="25">
        <v>1985344</v>
      </c>
      <c r="L360" s="25">
        <v>756296</v>
      </c>
      <c r="M360" s="23" t="s">
        <v>364</v>
      </c>
      <c r="N360" s="23" t="s">
        <v>414</v>
      </c>
    </row>
    <row r="361" spans="1:14" x14ac:dyDescent="0.35">
      <c r="A361" s="23" t="s">
        <v>248</v>
      </c>
      <c r="B361" s="24">
        <v>45674</v>
      </c>
      <c r="C361" s="23" t="s">
        <v>341</v>
      </c>
      <c r="D361" s="23" t="s">
        <v>348</v>
      </c>
      <c r="E361" s="23" t="s">
        <v>353</v>
      </c>
      <c r="F361" s="23" t="s">
        <v>359</v>
      </c>
      <c r="G361" s="23" t="s">
        <v>363</v>
      </c>
      <c r="H361" s="23">
        <v>284</v>
      </c>
      <c r="I361" s="25">
        <v>13852</v>
      </c>
      <c r="J361" s="25">
        <v>821</v>
      </c>
      <c r="K361" s="25">
        <v>3933968</v>
      </c>
      <c r="L361" s="25">
        <v>162328</v>
      </c>
      <c r="M361" s="23" t="s">
        <v>366</v>
      </c>
      <c r="N361" s="23" t="s">
        <v>412</v>
      </c>
    </row>
    <row r="362" spans="1:14" x14ac:dyDescent="0.35">
      <c r="A362" s="23" t="s">
        <v>501</v>
      </c>
      <c r="B362" s="24">
        <v>45372</v>
      </c>
      <c r="C362" s="23" t="s">
        <v>340</v>
      </c>
      <c r="D362" s="23" t="s">
        <v>350</v>
      </c>
      <c r="E362" s="23" t="s">
        <v>352</v>
      </c>
      <c r="F362" s="23" t="s">
        <v>357</v>
      </c>
      <c r="G362" s="23" t="s">
        <v>362</v>
      </c>
      <c r="H362" s="23">
        <v>8</v>
      </c>
      <c r="I362" s="25">
        <v>6565</v>
      </c>
      <c r="J362" s="25">
        <v>9879</v>
      </c>
      <c r="K362" s="25">
        <v>5252</v>
      </c>
      <c r="L362" s="25">
        <v>26512</v>
      </c>
      <c r="M362" s="23" t="s">
        <v>364</v>
      </c>
      <c r="N362" s="23" t="s">
        <v>414</v>
      </c>
    </row>
    <row r="363" spans="1:14" x14ac:dyDescent="0.35">
      <c r="A363" s="23" t="s">
        <v>249</v>
      </c>
      <c r="B363" s="24">
        <v>45583</v>
      </c>
      <c r="C363" s="23" t="s">
        <v>342</v>
      </c>
      <c r="D363" s="23" t="s">
        <v>346</v>
      </c>
      <c r="E363" s="23" t="s">
        <v>353</v>
      </c>
      <c r="F363" s="23" t="s">
        <v>357</v>
      </c>
      <c r="G363" s="23" t="s">
        <v>362</v>
      </c>
      <c r="H363" s="23">
        <v>0</v>
      </c>
      <c r="I363" s="25">
        <v>1464</v>
      </c>
      <c r="J363" s="25">
        <v>4437</v>
      </c>
      <c r="K363" s="25">
        <v>24888</v>
      </c>
      <c r="L363" s="25">
        <v>5541</v>
      </c>
      <c r="M363" s="23" t="s">
        <v>369</v>
      </c>
      <c r="N363" s="23" t="s">
        <v>416</v>
      </c>
    </row>
    <row r="364" spans="1:14" x14ac:dyDescent="0.35">
      <c r="A364" s="23" t="s">
        <v>476</v>
      </c>
      <c r="B364" s="24">
        <v>45342</v>
      </c>
      <c r="C364" s="23" t="s">
        <v>341</v>
      </c>
      <c r="D364" s="23" t="s">
        <v>350</v>
      </c>
      <c r="E364" s="23" t="s">
        <v>353</v>
      </c>
      <c r="F364" s="23" t="s">
        <v>358</v>
      </c>
      <c r="G364" s="23" t="s">
        <v>362</v>
      </c>
      <c r="H364" s="23">
        <v>5</v>
      </c>
      <c r="I364" s="25">
        <v>1588</v>
      </c>
      <c r="J364" s="25">
        <v>7755</v>
      </c>
      <c r="K364" s="25">
        <v>111174</v>
      </c>
      <c r="L364" s="25">
        <v>297465</v>
      </c>
      <c r="M364" s="23" t="s">
        <v>374</v>
      </c>
      <c r="N364" s="23" t="s">
        <v>414</v>
      </c>
    </row>
    <row r="365" spans="1:14" x14ac:dyDescent="0.35">
      <c r="A365" s="23" t="s">
        <v>250</v>
      </c>
      <c r="B365" s="24">
        <v>45508</v>
      </c>
      <c r="C365" s="23" t="s">
        <v>345</v>
      </c>
      <c r="D365" s="23" t="s">
        <v>348</v>
      </c>
      <c r="E365" s="23" t="s">
        <v>351</v>
      </c>
      <c r="F365" s="23" t="s">
        <v>358</v>
      </c>
      <c r="G365" s="23" t="s">
        <v>363</v>
      </c>
      <c r="H365" s="23">
        <v>253</v>
      </c>
      <c r="I365" s="25">
        <v>1347</v>
      </c>
      <c r="J365" s="25">
        <v>6653</v>
      </c>
      <c r="K365" s="25">
        <v>2617791</v>
      </c>
      <c r="L365" s="25">
        <v>934582</v>
      </c>
      <c r="M365" s="23" t="s">
        <v>371</v>
      </c>
      <c r="N365" s="23" t="s">
        <v>415</v>
      </c>
    </row>
    <row r="366" spans="1:14" x14ac:dyDescent="0.35">
      <c r="A366" s="23" t="s">
        <v>454</v>
      </c>
      <c r="B366" s="24">
        <v>45482</v>
      </c>
      <c r="C366" s="23" t="s">
        <v>343</v>
      </c>
      <c r="D366" s="23" t="s">
        <v>346</v>
      </c>
      <c r="E366" s="23" t="s">
        <v>353</v>
      </c>
      <c r="F366" s="23" t="s">
        <v>361</v>
      </c>
      <c r="G366" s="23" t="s">
        <v>363</v>
      </c>
      <c r="H366" s="23">
        <v>197</v>
      </c>
      <c r="I366" s="25">
        <v>3536</v>
      </c>
      <c r="J366" s="25">
        <v>9565</v>
      </c>
      <c r="K366" s="25">
        <v>696592</v>
      </c>
      <c r="L366" s="25">
        <v>1187713</v>
      </c>
      <c r="M366" s="23" t="s">
        <v>372</v>
      </c>
      <c r="N366" s="23" t="s">
        <v>415</v>
      </c>
    </row>
    <row r="367" spans="1:14" x14ac:dyDescent="0.35">
      <c r="A367" s="23" t="s">
        <v>480</v>
      </c>
      <c r="B367" s="24">
        <v>45612</v>
      </c>
      <c r="C367" s="23" t="s">
        <v>338</v>
      </c>
      <c r="D367" s="23" t="s">
        <v>348</v>
      </c>
      <c r="E367" s="23" t="s">
        <v>352</v>
      </c>
      <c r="F367" s="23" t="s">
        <v>357</v>
      </c>
      <c r="G367" s="23" t="s">
        <v>362</v>
      </c>
      <c r="H367" s="23">
        <v>287</v>
      </c>
      <c r="I367" s="25">
        <v>14128</v>
      </c>
      <c r="J367" s="25">
        <v>4919</v>
      </c>
      <c r="K367" s="25">
        <v>454736</v>
      </c>
      <c r="L367" s="25">
        <v>2642983</v>
      </c>
      <c r="M367" s="23" t="s">
        <v>373</v>
      </c>
      <c r="N367" s="23" t="s">
        <v>416</v>
      </c>
    </row>
    <row r="368" spans="1:14" x14ac:dyDescent="0.35">
      <c r="A368" s="23" t="s">
        <v>251</v>
      </c>
      <c r="B368" s="24">
        <v>45705</v>
      </c>
      <c r="C368" s="23" t="s">
        <v>342</v>
      </c>
      <c r="D368" s="23" t="s">
        <v>346</v>
      </c>
      <c r="E368" s="23" t="s">
        <v>353</v>
      </c>
      <c r="F368" s="23" t="s">
        <v>360</v>
      </c>
      <c r="G368" s="23" t="s">
        <v>363</v>
      </c>
      <c r="H368" s="23">
        <v>151</v>
      </c>
      <c r="I368" s="25">
        <v>2656</v>
      </c>
      <c r="J368" s="25">
        <v>7479</v>
      </c>
      <c r="K368" s="25">
        <v>4156</v>
      </c>
      <c r="L368" s="25">
        <v>728273</v>
      </c>
      <c r="M368" s="23" t="s">
        <v>374</v>
      </c>
      <c r="N368" s="23" t="s">
        <v>412</v>
      </c>
    </row>
    <row r="369" spans="1:14" x14ac:dyDescent="0.35">
      <c r="A369" s="23" t="s">
        <v>426</v>
      </c>
      <c r="B369" s="24">
        <v>45722</v>
      </c>
      <c r="C369" s="23" t="s">
        <v>339</v>
      </c>
      <c r="D369" s="23" t="s">
        <v>350</v>
      </c>
      <c r="E369" s="23" t="s">
        <v>351</v>
      </c>
      <c r="F369" s="23" t="s">
        <v>357</v>
      </c>
      <c r="G369" s="23" t="s">
        <v>363</v>
      </c>
      <c r="H369" s="23">
        <v>214</v>
      </c>
      <c r="I369" s="25">
        <v>773</v>
      </c>
      <c r="J369" s="25">
        <v>2264</v>
      </c>
      <c r="K369" s="25">
        <v>1513622</v>
      </c>
      <c r="L369" s="25">
        <v>129126</v>
      </c>
      <c r="M369" s="23" t="s">
        <v>364</v>
      </c>
      <c r="N369" s="23" t="s">
        <v>412</v>
      </c>
    </row>
    <row r="370" spans="1:14" x14ac:dyDescent="0.35">
      <c r="A370" s="23" t="s">
        <v>252</v>
      </c>
      <c r="B370" s="24">
        <v>45414</v>
      </c>
      <c r="C370" s="23" t="s">
        <v>342</v>
      </c>
      <c r="D370" s="23" t="s">
        <v>350</v>
      </c>
      <c r="E370" s="23" t="s">
        <v>354</v>
      </c>
      <c r="F370" s="23" t="s">
        <v>360</v>
      </c>
      <c r="G370" s="23" t="s">
        <v>362</v>
      </c>
      <c r="H370" s="23">
        <v>35</v>
      </c>
      <c r="I370" s="25">
        <v>8634</v>
      </c>
      <c r="J370" s="25">
        <v>828</v>
      </c>
      <c r="K370" s="25">
        <v>3219</v>
      </c>
      <c r="L370" s="25">
        <v>2121</v>
      </c>
      <c r="M370" s="23" t="s">
        <v>368</v>
      </c>
      <c r="N370" s="23" t="s">
        <v>413</v>
      </c>
    </row>
    <row r="371" spans="1:14" x14ac:dyDescent="0.35">
      <c r="A371" s="23" t="s">
        <v>253</v>
      </c>
      <c r="B371" s="24">
        <v>45444</v>
      </c>
      <c r="C371" s="23" t="s">
        <v>338</v>
      </c>
      <c r="D371" s="23" t="s">
        <v>348</v>
      </c>
      <c r="E371" s="23" t="s">
        <v>354</v>
      </c>
      <c r="F371" s="23" t="s">
        <v>360</v>
      </c>
      <c r="G371" s="23" t="s">
        <v>363</v>
      </c>
      <c r="H371" s="23">
        <v>233</v>
      </c>
      <c r="I371" s="25">
        <v>5267</v>
      </c>
      <c r="J371" s="25">
        <v>8815</v>
      </c>
      <c r="K371" s="25">
        <v>1227211</v>
      </c>
      <c r="L371" s="25">
        <v>826684</v>
      </c>
      <c r="M371" s="23" t="s">
        <v>370</v>
      </c>
      <c r="N371" s="23" t="s">
        <v>413</v>
      </c>
    </row>
    <row r="372" spans="1:14" x14ac:dyDescent="0.35">
      <c r="A372" s="23" t="s">
        <v>468</v>
      </c>
      <c r="B372" s="24">
        <v>45402</v>
      </c>
      <c r="C372" s="23" t="s">
        <v>343</v>
      </c>
      <c r="D372" s="23" t="s">
        <v>348</v>
      </c>
      <c r="E372" s="23" t="s">
        <v>353</v>
      </c>
      <c r="F372" s="23" t="s">
        <v>357</v>
      </c>
      <c r="G372" s="23" t="s">
        <v>363</v>
      </c>
      <c r="H372" s="23">
        <v>178</v>
      </c>
      <c r="I372" s="25">
        <v>929</v>
      </c>
      <c r="J372" s="25">
        <v>7949</v>
      </c>
      <c r="K372" s="25">
        <v>165362</v>
      </c>
      <c r="L372" s="25">
        <v>238698</v>
      </c>
      <c r="M372" s="23" t="s">
        <v>365</v>
      </c>
      <c r="N372" s="23" t="s">
        <v>413</v>
      </c>
    </row>
    <row r="373" spans="1:14" x14ac:dyDescent="0.35">
      <c r="A373" s="23" t="s">
        <v>489</v>
      </c>
      <c r="B373" s="24">
        <v>45339</v>
      </c>
      <c r="C373" s="23" t="s">
        <v>342</v>
      </c>
      <c r="D373" s="23" t="s">
        <v>381</v>
      </c>
      <c r="E373" s="23" t="s">
        <v>352</v>
      </c>
      <c r="F373" s="23" t="s">
        <v>381</v>
      </c>
      <c r="G373" s="23" t="s">
        <v>363</v>
      </c>
      <c r="H373" s="23">
        <v>49</v>
      </c>
      <c r="I373" s="25">
        <v>14555</v>
      </c>
      <c r="J373" s="25">
        <v>564</v>
      </c>
      <c r="K373" s="25">
        <v>713195</v>
      </c>
      <c r="L373" s="25">
        <v>46559</v>
      </c>
      <c r="M373" s="23" t="s">
        <v>374</v>
      </c>
      <c r="N373" s="23" t="s">
        <v>414</v>
      </c>
    </row>
    <row r="374" spans="1:14" x14ac:dyDescent="0.35">
      <c r="A374" s="23" t="s">
        <v>254</v>
      </c>
      <c r="B374" s="24">
        <v>45788</v>
      </c>
      <c r="C374" s="23" t="s">
        <v>343</v>
      </c>
      <c r="D374" s="23" t="s">
        <v>346</v>
      </c>
      <c r="E374" s="23" t="s">
        <v>354</v>
      </c>
      <c r="F374" s="23" t="s">
        <v>361</v>
      </c>
      <c r="G374" s="23" t="s">
        <v>363</v>
      </c>
      <c r="H374" s="23">
        <v>145</v>
      </c>
      <c r="I374" s="25">
        <v>8354</v>
      </c>
      <c r="J374" s="25">
        <v>9528</v>
      </c>
      <c r="K374" s="25">
        <v>121133</v>
      </c>
      <c r="L374" s="25">
        <v>1723</v>
      </c>
      <c r="M374" s="23" t="s">
        <v>368</v>
      </c>
      <c r="N374" s="23" t="s">
        <v>417</v>
      </c>
    </row>
    <row r="375" spans="1:14" x14ac:dyDescent="0.35">
      <c r="A375" s="23" t="s">
        <v>255</v>
      </c>
      <c r="B375" s="24">
        <v>45564</v>
      </c>
      <c r="C375" s="23" t="s">
        <v>343</v>
      </c>
      <c r="D375" s="23" t="s">
        <v>348</v>
      </c>
      <c r="E375" s="23" t="s">
        <v>352</v>
      </c>
      <c r="F375" s="23" t="s">
        <v>356</v>
      </c>
      <c r="G375" s="23" t="s">
        <v>363</v>
      </c>
      <c r="H375" s="23">
        <v>171</v>
      </c>
      <c r="I375" s="25">
        <v>2449</v>
      </c>
      <c r="J375" s="25">
        <v>3371</v>
      </c>
      <c r="K375" s="25">
        <v>418779</v>
      </c>
      <c r="L375" s="25">
        <v>157662</v>
      </c>
      <c r="M375" s="23" t="s">
        <v>367</v>
      </c>
      <c r="N375" s="23" t="s">
        <v>415</v>
      </c>
    </row>
    <row r="376" spans="1:14" x14ac:dyDescent="0.35">
      <c r="A376" s="23" t="s">
        <v>256</v>
      </c>
      <c r="B376" s="24">
        <v>45505</v>
      </c>
      <c r="C376" s="23" t="s">
        <v>338</v>
      </c>
      <c r="D376" s="23" t="s">
        <v>348</v>
      </c>
      <c r="E376" s="23" t="s">
        <v>351</v>
      </c>
      <c r="F376" s="23" t="s">
        <v>360</v>
      </c>
      <c r="G376" s="23" t="s">
        <v>363</v>
      </c>
      <c r="H376" s="23">
        <v>111</v>
      </c>
      <c r="I376" s="25">
        <v>2237</v>
      </c>
      <c r="J376" s="25">
        <v>2817</v>
      </c>
      <c r="K376" s="25">
        <v>24837</v>
      </c>
      <c r="L376" s="25">
        <v>6438</v>
      </c>
      <c r="M376" s="23" t="s">
        <v>371</v>
      </c>
      <c r="N376" s="23" t="s">
        <v>415</v>
      </c>
    </row>
    <row r="377" spans="1:14" x14ac:dyDescent="0.35">
      <c r="A377" s="23" t="s">
        <v>257</v>
      </c>
      <c r="B377" s="24">
        <v>45430</v>
      </c>
      <c r="C377" s="23" t="s">
        <v>345</v>
      </c>
      <c r="D377" s="23" t="s">
        <v>348</v>
      </c>
      <c r="E377" s="23" t="s">
        <v>353</v>
      </c>
      <c r="F377" s="23" t="s">
        <v>356</v>
      </c>
      <c r="G377" s="23" t="s">
        <v>363</v>
      </c>
      <c r="H377" s="23">
        <v>285</v>
      </c>
      <c r="I377" s="25">
        <v>555</v>
      </c>
      <c r="J377" s="25">
        <v>315</v>
      </c>
      <c r="K377" s="25">
        <v>158175</v>
      </c>
      <c r="L377" s="25">
        <v>722475</v>
      </c>
      <c r="M377" s="23" t="s">
        <v>368</v>
      </c>
      <c r="N377" s="23" t="s">
        <v>413</v>
      </c>
    </row>
    <row r="378" spans="1:14" x14ac:dyDescent="0.35">
      <c r="A378" s="23" t="s">
        <v>501</v>
      </c>
      <c r="B378" s="24">
        <v>45300</v>
      </c>
      <c r="C378" s="23" t="s">
        <v>340</v>
      </c>
      <c r="D378" s="23" t="s">
        <v>350</v>
      </c>
      <c r="E378" s="23" t="s">
        <v>352</v>
      </c>
      <c r="F378" s="23" t="s">
        <v>356</v>
      </c>
      <c r="G378" s="23" t="s">
        <v>363</v>
      </c>
      <c r="H378" s="23">
        <v>0</v>
      </c>
      <c r="I378" s="25">
        <v>168</v>
      </c>
      <c r="J378" s="25">
        <v>585</v>
      </c>
      <c r="K378" s="25">
        <v>35952</v>
      </c>
      <c r="L378" s="25">
        <v>89238</v>
      </c>
      <c r="M378" s="23" t="s">
        <v>366</v>
      </c>
      <c r="N378" s="23" t="s">
        <v>414</v>
      </c>
    </row>
    <row r="379" spans="1:14" x14ac:dyDescent="0.35">
      <c r="A379" s="23" t="s">
        <v>258</v>
      </c>
      <c r="B379" s="24">
        <v>45757</v>
      </c>
      <c r="C379" s="23" t="s">
        <v>344</v>
      </c>
      <c r="D379" s="23" t="s">
        <v>346</v>
      </c>
      <c r="E379" s="23" t="s">
        <v>352</v>
      </c>
      <c r="F379" s="23" t="s">
        <v>360</v>
      </c>
      <c r="G379" s="23" t="s">
        <v>363</v>
      </c>
      <c r="H379" s="23">
        <v>186</v>
      </c>
      <c r="I379" s="25">
        <v>4751</v>
      </c>
      <c r="J379" s="25">
        <v>4423</v>
      </c>
      <c r="K379" s="25">
        <v>883686</v>
      </c>
      <c r="L379" s="25">
        <v>618</v>
      </c>
      <c r="M379" s="23" t="s">
        <v>365</v>
      </c>
      <c r="N379" s="23" t="s">
        <v>417</v>
      </c>
    </row>
    <row r="380" spans="1:14" x14ac:dyDescent="0.35">
      <c r="A380" s="23" t="s">
        <v>259</v>
      </c>
      <c r="B380" s="24">
        <v>45546</v>
      </c>
      <c r="C380" s="23" t="s">
        <v>341</v>
      </c>
      <c r="D380" s="23" t="s">
        <v>346</v>
      </c>
      <c r="E380" s="23" t="s">
        <v>354</v>
      </c>
      <c r="F380" s="23" t="s">
        <v>360</v>
      </c>
      <c r="G380" s="23" t="s">
        <v>362</v>
      </c>
      <c r="H380" s="23">
        <v>157</v>
      </c>
      <c r="I380" s="25">
        <v>8573</v>
      </c>
      <c r="J380" s="25">
        <v>9385</v>
      </c>
      <c r="K380" s="25">
        <v>1345961</v>
      </c>
      <c r="L380" s="25">
        <v>127484</v>
      </c>
      <c r="M380" s="23" t="s">
        <v>367</v>
      </c>
      <c r="N380" s="23" t="s">
        <v>415</v>
      </c>
    </row>
    <row r="381" spans="1:14" x14ac:dyDescent="0.35">
      <c r="A381" s="23" t="s">
        <v>260</v>
      </c>
      <c r="B381" s="24">
        <v>45453</v>
      </c>
      <c r="C381" s="23" t="s">
        <v>341</v>
      </c>
      <c r="D381" s="23" t="s">
        <v>348</v>
      </c>
      <c r="E381" s="23" t="s">
        <v>352</v>
      </c>
      <c r="F381" s="23" t="s">
        <v>359</v>
      </c>
      <c r="G381" s="23" t="s">
        <v>362</v>
      </c>
      <c r="H381" s="23">
        <v>267</v>
      </c>
      <c r="I381" s="25">
        <v>3137</v>
      </c>
      <c r="J381" s="25">
        <v>6156</v>
      </c>
      <c r="K381" s="25">
        <v>837579</v>
      </c>
      <c r="L381" s="25">
        <v>8673</v>
      </c>
      <c r="M381" s="23" t="s">
        <v>370</v>
      </c>
      <c r="N381" s="23" t="s">
        <v>413</v>
      </c>
    </row>
    <row r="382" spans="1:14" x14ac:dyDescent="0.35">
      <c r="A382" s="23" t="s">
        <v>423</v>
      </c>
      <c r="B382" s="24">
        <v>45323</v>
      </c>
      <c r="C382" s="23" t="s">
        <v>345</v>
      </c>
      <c r="D382" s="23" t="s">
        <v>350</v>
      </c>
      <c r="E382" s="23" t="s">
        <v>351</v>
      </c>
      <c r="F382" s="23" t="s">
        <v>357</v>
      </c>
      <c r="G382" s="23" t="s">
        <v>362</v>
      </c>
      <c r="H382" s="23">
        <v>243</v>
      </c>
      <c r="I382" s="25">
        <v>11318</v>
      </c>
      <c r="J382" s="25">
        <v>264</v>
      </c>
      <c r="K382" s="25">
        <v>275274</v>
      </c>
      <c r="L382" s="25">
        <v>211752</v>
      </c>
      <c r="M382" s="23" t="s">
        <v>374</v>
      </c>
      <c r="N382" s="23" t="s">
        <v>414</v>
      </c>
    </row>
    <row r="383" spans="1:14" x14ac:dyDescent="0.35">
      <c r="A383" s="23" t="s">
        <v>457</v>
      </c>
      <c r="B383" s="24">
        <v>45493</v>
      </c>
      <c r="C383" s="23" t="s">
        <v>345</v>
      </c>
      <c r="D383" s="23" t="s">
        <v>346</v>
      </c>
      <c r="E383" s="23" t="s">
        <v>353</v>
      </c>
      <c r="F383" s="23" t="s">
        <v>359</v>
      </c>
      <c r="G383" s="23" t="s">
        <v>363</v>
      </c>
      <c r="H383" s="23">
        <v>0</v>
      </c>
      <c r="I383" s="25">
        <v>7919</v>
      </c>
      <c r="J383" s="25">
        <v>994</v>
      </c>
      <c r="K383" s="25">
        <v>116493</v>
      </c>
      <c r="L383" s="25">
        <v>117975</v>
      </c>
      <c r="M383" s="23" t="s">
        <v>372</v>
      </c>
      <c r="N383" s="23" t="s">
        <v>415</v>
      </c>
    </row>
    <row r="384" spans="1:14" x14ac:dyDescent="0.35">
      <c r="A384" s="23" t="s">
        <v>261</v>
      </c>
      <c r="B384" s="24">
        <v>45578</v>
      </c>
      <c r="C384" s="23" t="s">
        <v>340</v>
      </c>
      <c r="D384" s="23" t="s">
        <v>346</v>
      </c>
      <c r="E384" s="23" t="s">
        <v>351</v>
      </c>
      <c r="F384" s="23" t="s">
        <v>360</v>
      </c>
      <c r="G384" s="23" t="s">
        <v>362</v>
      </c>
      <c r="H384" s="23">
        <v>19</v>
      </c>
      <c r="I384" s="25">
        <v>14493</v>
      </c>
      <c r="J384" s="25">
        <v>6869</v>
      </c>
      <c r="K384" s="25">
        <v>275367</v>
      </c>
      <c r="L384" s="25">
        <v>144856</v>
      </c>
      <c r="M384" s="23" t="s">
        <v>369</v>
      </c>
      <c r="N384" s="23" t="s">
        <v>416</v>
      </c>
    </row>
    <row r="385" spans="1:14" x14ac:dyDescent="0.35">
      <c r="A385" s="23" t="s">
        <v>502</v>
      </c>
      <c r="B385" s="24">
        <v>45350</v>
      </c>
      <c r="C385" s="23" t="s">
        <v>341</v>
      </c>
      <c r="D385" s="23" t="s">
        <v>348</v>
      </c>
      <c r="E385" s="23" t="s">
        <v>353</v>
      </c>
      <c r="F385" s="23" t="s">
        <v>357</v>
      </c>
      <c r="G385" s="23" t="s">
        <v>363</v>
      </c>
      <c r="H385" s="23">
        <v>27</v>
      </c>
      <c r="I385" s="25">
        <v>1349</v>
      </c>
      <c r="J385" s="25">
        <v>8227</v>
      </c>
      <c r="K385" s="25">
        <v>36243</v>
      </c>
      <c r="L385" s="25">
        <v>139914</v>
      </c>
      <c r="M385" s="23" t="s">
        <v>374</v>
      </c>
      <c r="N385" s="23" t="s">
        <v>414</v>
      </c>
    </row>
    <row r="386" spans="1:14" x14ac:dyDescent="0.35">
      <c r="A386" s="23" t="s">
        <v>262</v>
      </c>
      <c r="B386" s="24">
        <v>45563</v>
      </c>
      <c r="C386" s="23" t="s">
        <v>342</v>
      </c>
      <c r="D386" s="23" t="s">
        <v>348</v>
      </c>
      <c r="E386" s="23" t="s">
        <v>351</v>
      </c>
      <c r="F386" s="23" t="s">
        <v>356</v>
      </c>
      <c r="G386" s="23" t="s">
        <v>362</v>
      </c>
      <c r="H386" s="23">
        <v>16</v>
      </c>
      <c r="I386" s="25">
        <v>5381</v>
      </c>
      <c r="J386" s="25">
        <v>417</v>
      </c>
      <c r="K386" s="25">
        <v>8696</v>
      </c>
      <c r="L386" s="25">
        <v>79424</v>
      </c>
      <c r="M386" s="23" t="s">
        <v>367</v>
      </c>
      <c r="N386" s="23" t="s">
        <v>415</v>
      </c>
    </row>
    <row r="387" spans="1:14" x14ac:dyDescent="0.35">
      <c r="A387" s="23" t="s">
        <v>446</v>
      </c>
      <c r="B387" s="24">
        <v>45532</v>
      </c>
      <c r="C387" s="23" t="s">
        <v>338</v>
      </c>
      <c r="D387" s="23" t="s">
        <v>350</v>
      </c>
      <c r="E387" s="23" t="s">
        <v>351</v>
      </c>
      <c r="F387" s="23" t="s">
        <v>360</v>
      </c>
      <c r="G387" s="23" t="s">
        <v>363</v>
      </c>
      <c r="H387" s="23">
        <v>162</v>
      </c>
      <c r="I387" s="25">
        <v>1353</v>
      </c>
      <c r="J387" s="25">
        <v>9816</v>
      </c>
      <c r="K387" s="25">
        <v>2187486</v>
      </c>
      <c r="L387" s="25">
        <v>597294</v>
      </c>
      <c r="M387" s="23" t="s">
        <v>371</v>
      </c>
      <c r="N387" s="23" t="s">
        <v>415</v>
      </c>
    </row>
    <row r="388" spans="1:14" x14ac:dyDescent="0.35">
      <c r="A388" s="23" t="s">
        <v>263</v>
      </c>
      <c r="B388" s="24">
        <v>45440</v>
      </c>
      <c r="C388" s="23" t="s">
        <v>342</v>
      </c>
      <c r="D388" s="23" t="s">
        <v>346</v>
      </c>
      <c r="E388" s="23" t="s">
        <v>354</v>
      </c>
      <c r="F388" s="23" t="s">
        <v>359</v>
      </c>
      <c r="G388" s="23" t="s">
        <v>363</v>
      </c>
      <c r="H388" s="23">
        <v>197</v>
      </c>
      <c r="I388" s="25">
        <v>4245</v>
      </c>
      <c r="J388" s="25">
        <v>951</v>
      </c>
      <c r="K388" s="25">
        <v>836265</v>
      </c>
      <c r="L388" s="25">
        <v>666570</v>
      </c>
      <c r="M388" s="23" t="s">
        <v>368</v>
      </c>
      <c r="N388" s="23" t="s">
        <v>413</v>
      </c>
    </row>
    <row r="389" spans="1:14" x14ac:dyDescent="0.35">
      <c r="A389" s="23" t="s">
        <v>503</v>
      </c>
      <c r="B389" s="24">
        <v>45601</v>
      </c>
      <c r="C389" s="23" t="s">
        <v>342</v>
      </c>
      <c r="D389" s="23" t="s">
        <v>350</v>
      </c>
      <c r="E389" s="23" t="s">
        <v>351</v>
      </c>
      <c r="F389" s="23" t="s">
        <v>356</v>
      </c>
      <c r="G389" s="23" t="s">
        <v>363</v>
      </c>
      <c r="H389" s="23">
        <v>169</v>
      </c>
      <c r="I389" s="25">
        <v>729</v>
      </c>
      <c r="J389" s="25">
        <v>8713</v>
      </c>
      <c r="K389" s="25">
        <v>1218321</v>
      </c>
      <c r="L389" s="25">
        <v>254176</v>
      </c>
      <c r="M389" s="23" t="s">
        <v>373</v>
      </c>
      <c r="N389" s="23" t="s">
        <v>416</v>
      </c>
    </row>
    <row r="390" spans="1:14" x14ac:dyDescent="0.35">
      <c r="A390" s="23" t="s">
        <v>264</v>
      </c>
      <c r="B390" s="24">
        <v>45504</v>
      </c>
      <c r="C390" s="23" t="s">
        <v>338</v>
      </c>
      <c r="D390" s="23" t="s">
        <v>350</v>
      </c>
      <c r="E390" s="23" t="s">
        <v>352</v>
      </c>
      <c r="F390" s="23" t="s">
        <v>360</v>
      </c>
      <c r="G390" s="23" t="s">
        <v>362</v>
      </c>
      <c r="H390" s="23">
        <v>143</v>
      </c>
      <c r="I390" s="25">
        <v>5249</v>
      </c>
      <c r="J390" s="25">
        <v>5744</v>
      </c>
      <c r="K390" s="25">
        <v>7567</v>
      </c>
      <c r="L390" s="25">
        <v>7784</v>
      </c>
      <c r="M390" s="23" t="s">
        <v>372</v>
      </c>
      <c r="N390" s="23" t="s">
        <v>415</v>
      </c>
    </row>
    <row r="391" spans="1:14" x14ac:dyDescent="0.35">
      <c r="A391" s="23" t="s">
        <v>457</v>
      </c>
      <c r="B391" s="24">
        <v>45313</v>
      </c>
      <c r="C391" s="23" t="s">
        <v>338</v>
      </c>
      <c r="D391" s="23" t="s">
        <v>348</v>
      </c>
      <c r="E391" s="23" t="s">
        <v>351</v>
      </c>
      <c r="F391" s="23" t="s">
        <v>381</v>
      </c>
      <c r="G391" s="23" t="s">
        <v>363</v>
      </c>
      <c r="H391" s="23">
        <v>235</v>
      </c>
      <c r="I391" s="25">
        <v>6651</v>
      </c>
      <c r="J391" s="25">
        <v>1919</v>
      </c>
      <c r="K391" s="25">
        <v>1562985</v>
      </c>
      <c r="L391" s="25">
        <v>11122</v>
      </c>
      <c r="M391" s="23" t="s">
        <v>366</v>
      </c>
      <c r="N391" s="23" t="s">
        <v>414</v>
      </c>
    </row>
    <row r="392" spans="1:14" x14ac:dyDescent="0.35">
      <c r="A392" s="23" t="s">
        <v>462</v>
      </c>
      <c r="B392" s="24">
        <v>45307</v>
      </c>
      <c r="C392" s="23" t="s">
        <v>344</v>
      </c>
      <c r="D392" s="23" t="s">
        <v>348</v>
      </c>
      <c r="E392" s="23" t="s">
        <v>353</v>
      </c>
      <c r="F392" s="23" t="s">
        <v>355</v>
      </c>
      <c r="G392" s="23" t="s">
        <v>362</v>
      </c>
      <c r="H392" s="23">
        <v>293</v>
      </c>
      <c r="I392" s="25">
        <v>14797</v>
      </c>
      <c r="J392" s="25">
        <v>1541</v>
      </c>
      <c r="K392" s="25">
        <v>4335521</v>
      </c>
      <c r="L392" s="25">
        <v>38848</v>
      </c>
      <c r="M392" s="23" t="s">
        <v>366</v>
      </c>
      <c r="N392" s="23" t="s">
        <v>414</v>
      </c>
    </row>
    <row r="393" spans="1:14" x14ac:dyDescent="0.35">
      <c r="A393" s="23" t="s">
        <v>430</v>
      </c>
      <c r="B393" s="24">
        <v>45330</v>
      </c>
      <c r="C393" s="23" t="s">
        <v>339</v>
      </c>
      <c r="D393" s="23" t="s">
        <v>348</v>
      </c>
      <c r="E393" s="23" t="s">
        <v>352</v>
      </c>
      <c r="F393" s="23" t="s">
        <v>360</v>
      </c>
      <c r="G393" s="23" t="s">
        <v>363</v>
      </c>
      <c r="H393" s="23">
        <v>13</v>
      </c>
      <c r="I393" s="25">
        <v>0</v>
      </c>
      <c r="J393" s="25">
        <v>4865</v>
      </c>
      <c r="K393" s="25">
        <v>18871</v>
      </c>
      <c r="L393" s="25">
        <v>124826</v>
      </c>
      <c r="M393" s="23" t="s">
        <v>374</v>
      </c>
      <c r="N393" s="23" t="s">
        <v>414</v>
      </c>
    </row>
    <row r="394" spans="1:14" x14ac:dyDescent="0.35">
      <c r="A394" s="23" t="s">
        <v>265</v>
      </c>
      <c r="B394" s="24">
        <v>45519</v>
      </c>
      <c r="C394" s="23" t="s">
        <v>343</v>
      </c>
      <c r="D394" s="23" t="s">
        <v>350</v>
      </c>
      <c r="E394" s="23" t="s">
        <v>353</v>
      </c>
      <c r="F394" s="23" t="s">
        <v>357</v>
      </c>
      <c r="G394" s="23" t="s">
        <v>363</v>
      </c>
      <c r="H394" s="23">
        <v>53</v>
      </c>
      <c r="I394" s="25">
        <v>9866</v>
      </c>
      <c r="J394" s="25">
        <v>8744</v>
      </c>
      <c r="K394" s="25">
        <v>522898</v>
      </c>
      <c r="L394" s="25">
        <v>59466</v>
      </c>
      <c r="M394" s="23" t="s">
        <v>371</v>
      </c>
      <c r="N394" s="23" t="s">
        <v>415</v>
      </c>
    </row>
    <row r="395" spans="1:14" x14ac:dyDescent="0.35">
      <c r="A395" s="23" t="s">
        <v>266</v>
      </c>
      <c r="B395" s="24">
        <v>45665</v>
      </c>
      <c r="C395" s="23" t="s">
        <v>344</v>
      </c>
      <c r="D395" s="23" t="s">
        <v>348</v>
      </c>
      <c r="E395" s="23" t="s">
        <v>352</v>
      </c>
      <c r="F395" s="23" t="s">
        <v>361</v>
      </c>
      <c r="G395" s="23" t="s">
        <v>363</v>
      </c>
      <c r="H395" s="23">
        <v>191</v>
      </c>
      <c r="I395" s="25">
        <v>665</v>
      </c>
      <c r="J395" s="25">
        <v>7149</v>
      </c>
      <c r="K395" s="25">
        <v>12715</v>
      </c>
      <c r="L395" s="25">
        <v>9538</v>
      </c>
      <c r="M395" s="23" t="s">
        <v>366</v>
      </c>
      <c r="N395" s="23" t="s">
        <v>412</v>
      </c>
    </row>
    <row r="396" spans="1:14" x14ac:dyDescent="0.35">
      <c r="A396" s="23" t="s">
        <v>429</v>
      </c>
      <c r="B396" s="24">
        <v>45338</v>
      </c>
      <c r="C396" s="23" t="s">
        <v>344</v>
      </c>
      <c r="D396" s="23" t="s">
        <v>348</v>
      </c>
      <c r="E396" s="23" t="s">
        <v>354</v>
      </c>
      <c r="F396" s="23" t="s">
        <v>358</v>
      </c>
      <c r="G396" s="23" t="s">
        <v>363</v>
      </c>
      <c r="H396" s="23">
        <v>8</v>
      </c>
      <c r="I396" s="25">
        <v>8531</v>
      </c>
      <c r="J396" s="25">
        <v>74</v>
      </c>
      <c r="K396" s="25">
        <v>68248</v>
      </c>
      <c r="L396" s="25">
        <v>62616</v>
      </c>
      <c r="M396" s="23" t="s">
        <v>374</v>
      </c>
      <c r="N396" s="23" t="s">
        <v>414</v>
      </c>
    </row>
    <row r="397" spans="1:14" x14ac:dyDescent="0.35">
      <c r="A397" s="23" t="s">
        <v>267</v>
      </c>
      <c r="B397" s="24">
        <v>45670</v>
      </c>
      <c r="C397" s="23" t="s">
        <v>338</v>
      </c>
      <c r="D397" s="23" t="s">
        <v>348</v>
      </c>
      <c r="E397" s="23" t="s">
        <v>354</v>
      </c>
      <c r="F397" s="23" t="s">
        <v>357</v>
      </c>
      <c r="G397" s="23" t="s">
        <v>362</v>
      </c>
      <c r="H397" s="23">
        <v>153</v>
      </c>
      <c r="I397" s="25">
        <v>2142</v>
      </c>
      <c r="J397" s="25">
        <v>8185</v>
      </c>
      <c r="K397" s="25">
        <v>327726</v>
      </c>
      <c r="L397" s="25">
        <v>924579</v>
      </c>
      <c r="M397" s="23" t="s">
        <v>366</v>
      </c>
      <c r="N397" s="23" t="s">
        <v>412</v>
      </c>
    </row>
    <row r="398" spans="1:14" x14ac:dyDescent="0.35">
      <c r="A398" s="23" t="s">
        <v>268</v>
      </c>
      <c r="B398" s="24">
        <v>45673</v>
      </c>
      <c r="C398" s="23" t="s">
        <v>344</v>
      </c>
      <c r="D398" s="23" t="s">
        <v>346</v>
      </c>
      <c r="E398" s="23" t="s">
        <v>351</v>
      </c>
      <c r="F398" s="23" t="s">
        <v>360</v>
      </c>
      <c r="G398" s="23" t="s">
        <v>363</v>
      </c>
      <c r="H398" s="23">
        <v>184</v>
      </c>
      <c r="I398" s="25">
        <v>238</v>
      </c>
      <c r="J398" s="25">
        <v>5566</v>
      </c>
      <c r="K398" s="25">
        <v>424672</v>
      </c>
      <c r="L398" s="25">
        <v>599472</v>
      </c>
      <c r="M398" s="23" t="s">
        <v>366</v>
      </c>
      <c r="N398" s="23" t="s">
        <v>412</v>
      </c>
    </row>
    <row r="399" spans="1:14" x14ac:dyDescent="0.35">
      <c r="A399" s="23" t="s">
        <v>269</v>
      </c>
      <c r="B399" s="24">
        <v>45476</v>
      </c>
      <c r="C399" s="23" t="s">
        <v>341</v>
      </c>
      <c r="D399" s="23" t="s">
        <v>346</v>
      </c>
      <c r="E399" s="23" t="s">
        <v>353</v>
      </c>
      <c r="F399" s="23" t="s">
        <v>358</v>
      </c>
      <c r="G399" s="23" t="s">
        <v>363</v>
      </c>
      <c r="H399" s="23">
        <v>183</v>
      </c>
      <c r="I399" s="25">
        <v>13853</v>
      </c>
      <c r="J399" s="25">
        <v>5885</v>
      </c>
      <c r="K399" s="25">
        <v>253599</v>
      </c>
      <c r="L399" s="25">
        <v>1458144</v>
      </c>
      <c r="M399" s="23" t="s">
        <v>372</v>
      </c>
      <c r="N399" s="23" t="s">
        <v>415</v>
      </c>
    </row>
    <row r="400" spans="1:14" x14ac:dyDescent="0.35">
      <c r="A400" s="23" t="s">
        <v>424</v>
      </c>
      <c r="B400" s="24">
        <v>45497</v>
      </c>
      <c r="C400" s="23" t="s">
        <v>342</v>
      </c>
      <c r="D400" s="23" t="s">
        <v>346</v>
      </c>
      <c r="E400" s="23" t="s">
        <v>353</v>
      </c>
      <c r="F400" s="23" t="s">
        <v>361</v>
      </c>
      <c r="G400" s="23" t="s">
        <v>363</v>
      </c>
      <c r="H400" s="23">
        <v>128</v>
      </c>
      <c r="I400" s="25">
        <v>8223</v>
      </c>
      <c r="J400" s="25">
        <v>8542</v>
      </c>
      <c r="K400" s="25">
        <v>152544</v>
      </c>
      <c r="L400" s="25">
        <v>4832</v>
      </c>
      <c r="M400" s="23" t="s">
        <v>372</v>
      </c>
      <c r="N400" s="23" t="s">
        <v>415</v>
      </c>
    </row>
    <row r="401" spans="1:14" x14ac:dyDescent="0.35">
      <c r="A401" s="23" t="s">
        <v>435</v>
      </c>
      <c r="B401" s="24">
        <v>45702</v>
      </c>
      <c r="C401" s="23" t="s">
        <v>344</v>
      </c>
      <c r="D401" s="23" t="s">
        <v>348</v>
      </c>
      <c r="E401" s="23" t="s">
        <v>353</v>
      </c>
      <c r="F401" s="23" t="s">
        <v>360</v>
      </c>
      <c r="G401" s="23" t="s">
        <v>363</v>
      </c>
      <c r="H401" s="23">
        <v>246</v>
      </c>
      <c r="I401" s="25">
        <v>1121</v>
      </c>
      <c r="J401" s="25">
        <v>4734</v>
      </c>
      <c r="K401" s="25">
        <v>2489766</v>
      </c>
      <c r="L401" s="25">
        <v>132522</v>
      </c>
      <c r="M401" s="23" t="s">
        <v>374</v>
      </c>
      <c r="N401" s="23" t="s">
        <v>412</v>
      </c>
    </row>
    <row r="402" spans="1:14" x14ac:dyDescent="0.35">
      <c r="A402" s="23" t="s">
        <v>446</v>
      </c>
      <c r="B402" s="24">
        <v>45316</v>
      </c>
      <c r="C402" s="23" t="s">
        <v>341</v>
      </c>
      <c r="D402" s="23" t="s">
        <v>346</v>
      </c>
      <c r="E402" s="23" t="s">
        <v>353</v>
      </c>
      <c r="F402" s="23" t="s">
        <v>360</v>
      </c>
      <c r="G402" s="23" t="s">
        <v>362</v>
      </c>
      <c r="H402" s="23">
        <v>169</v>
      </c>
      <c r="I402" s="25">
        <v>7643</v>
      </c>
      <c r="J402" s="25">
        <v>3955</v>
      </c>
      <c r="K402" s="25">
        <v>1291667</v>
      </c>
      <c r="L402" s="25">
        <v>623272</v>
      </c>
      <c r="M402" s="23" t="s">
        <v>366</v>
      </c>
      <c r="N402" s="23" t="s">
        <v>414</v>
      </c>
    </row>
    <row r="403" spans="1:14" x14ac:dyDescent="0.35">
      <c r="A403" s="23" t="s">
        <v>270</v>
      </c>
      <c r="B403" s="24">
        <v>45748</v>
      </c>
      <c r="C403" s="23" t="s">
        <v>338</v>
      </c>
      <c r="D403" s="23" t="s">
        <v>348</v>
      </c>
      <c r="E403" s="23" t="s">
        <v>354</v>
      </c>
      <c r="F403" s="23" t="s">
        <v>355</v>
      </c>
      <c r="G403" s="23" t="s">
        <v>362</v>
      </c>
      <c r="H403" s="23">
        <v>182</v>
      </c>
      <c r="I403" s="25">
        <v>3954</v>
      </c>
      <c r="J403" s="25">
        <v>1483</v>
      </c>
      <c r="K403" s="25">
        <v>719628</v>
      </c>
      <c r="L403" s="25">
        <v>449722</v>
      </c>
      <c r="M403" s="23" t="s">
        <v>365</v>
      </c>
      <c r="N403" s="23" t="s">
        <v>417</v>
      </c>
    </row>
    <row r="404" spans="1:14" x14ac:dyDescent="0.35">
      <c r="A404" s="23" t="s">
        <v>271</v>
      </c>
      <c r="B404" s="24">
        <v>45481</v>
      </c>
      <c r="C404" s="23" t="s">
        <v>345</v>
      </c>
      <c r="D404" s="23" t="s">
        <v>348</v>
      </c>
      <c r="E404" s="23" t="s">
        <v>351</v>
      </c>
      <c r="F404" s="23" t="s">
        <v>358</v>
      </c>
      <c r="G404" s="23" t="s">
        <v>362</v>
      </c>
      <c r="H404" s="23">
        <v>97</v>
      </c>
      <c r="I404" s="25">
        <v>3176</v>
      </c>
      <c r="J404" s="25">
        <v>891</v>
      </c>
      <c r="K404" s="25">
        <v>3872</v>
      </c>
      <c r="L404" s="25">
        <v>556198</v>
      </c>
      <c r="M404" s="23" t="s">
        <v>372</v>
      </c>
      <c r="N404" s="23" t="s">
        <v>415</v>
      </c>
    </row>
    <row r="405" spans="1:14" x14ac:dyDescent="0.35">
      <c r="A405" s="23" t="s">
        <v>473</v>
      </c>
      <c r="B405" s="24">
        <v>45321</v>
      </c>
      <c r="C405" s="23" t="s">
        <v>339</v>
      </c>
      <c r="D405" s="23" t="s">
        <v>346</v>
      </c>
      <c r="E405" s="23" t="s">
        <v>352</v>
      </c>
      <c r="F405" s="23" t="s">
        <v>361</v>
      </c>
      <c r="G405" s="23" t="s">
        <v>363</v>
      </c>
      <c r="H405" s="23">
        <v>5</v>
      </c>
      <c r="I405" s="25">
        <v>224</v>
      </c>
      <c r="J405" s="25">
        <v>111</v>
      </c>
      <c r="K405" s="25">
        <v>45963</v>
      </c>
      <c r="L405" s="25">
        <v>5965</v>
      </c>
      <c r="M405" s="23" t="s">
        <v>366</v>
      </c>
      <c r="N405" s="23" t="s">
        <v>414</v>
      </c>
    </row>
    <row r="406" spans="1:14" x14ac:dyDescent="0.35">
      <c r="A406" s="23" t="s">
        <v>443</v>
      </c>
      <c r="B406" s="24">
        <v>45597</v>
      </c>
      <c r="C406" s="23" t="s">
        <v>340</v>
      </c>
      <c r="D406" s="23" t="s">
        <v>346</v>
      </c>
      <c r="E406" s="23" t="s">
        <v>351</v>
      </c>
      <c r="F406" s="23" t="s">
        <v>360</v>
      </c>
      <c r="G406" s="23" t="s">
        <v>363</v>
      </c>
      <c r="H406" s="23">
        <v>298</v>
      </c>
      <c r="I406" s="25">
        <v>619</v>
      </c>
      <c r="J406" s="25">
        <v>8671</v>
      </c>
      <c r="K406" s="25">
        <v>184462</v>
      </c>
      <c r="L406" s="25">
        <v>739338</v>
      </c>
      <c r="M406" s="23" t="s">
        <v>373</v>
      </c>
      <c r="N406" s="23" t="s">
        <v>416</v>
      </c>
    </row>
    <row r="407" spans="1:14" x14ac:dyDescent="0.35">
      <c r="A407" s="23" t="s">
        <v>272</v>
      </c>
      <c r="B407" s="24">
        <v>45605</v>
      </c>
      <c r="C407" s="23" t="s">
        <v>339</v>
      </c>
      <c r="D407" s="23" t="s">
        <v>348</v>
      </c>
      <c r="E407" s="23" t="s">
        <v>352</v>
      </c>
      <c r="F407" s="23" t="s">
        <v>359</v>
      </c>
      <c r="G407" s="23" t="s">
        <v>362</v>
      </c>
      <c r="H407" s="23">
        <v>35</v>
      </c>
      <c r="I407" s="25">
        <v>3867</v>
      </c>
      <c r="J407" s="25">
        <v>7658</v>
      </c>
      <c r="K407" s="25">
        <v>135345</v>
      </c>
      <c r="L407" s="25">
        <v>132685</v>
      </c>
      <c r="M407" s="23" t="s">
        <v>373</v>
      </c>
      <c r="N407" s="23" t="s">
        <v>416</v>
      </c>
    </row>
    <row r="408" spans="1:14" x14ac:dyDescent="0.35">
      <c r="A408" s="23" t="s">
        <v>273</v>
      </c>
      <c r="B408" s="24">
        <v>45634</v>
      </c>
      <c r="C408" s="23" t="s">
        <v>338</v>
      </c>
      <c r="D408" s="23" t="s">
        <v>348</v>
      </c>
      <c r="E408" s="23" t="s">
        <v>352</v>
      </c>
      <c r="F408" s="23" t="s">
        <v>359</v>
      </c>
      <c r="G408" s="23" t="s">
        <v>363</v>
      </c>
      <c r="H408" s="23">
        <v>261</v>
      </c>
      <c r="I408" s="25">
        <v>6261</v>
      </c>
      <c r="J408" s="25">
        <v>588</v>
      </c>
      <c r="K408" s="25">
        <v>1634121</v>
      </c>
      <c r="L408" s="25">
        <v>148653</v>
      </c>
      <c r="M408" s="23" t="s">
        <v>375</v>
      </c>
      <c r="N408" s="23" t="s">
        <v>416</v>
      </c>
    </row>
    <row r="409" spans="1:14" x14ac:dyDescent="0.35">
      <c r="A409" s="23" t="s">
        <v>274</v>
      </c>
      <c r="B409" s="24">
        <v>45688</v>
      </c>
      <c r="C409" s="23" t="s">
        <v>344</v>
      </c>
      <c r="D409" s="23" t="s">
        <v>381</v>
      </c>
      <c r="E409" s="23" t="s">
        <v>354</v>
      </c>
      <c r="F409" s="23" t="s">
        <v>356</v>
      </c>
      <c r="G409" s="23" t="s">
        <v>363</v>
      </c>
      <c r="H409" s="23">
        <v>249</v>
      </c>
      <c r="I409" s="25">
        <v>5531</v>
      </c>
      <c r="J409" s="25">
        <v>7939</v>
      </c>
      <c r="K409" s="25">
        <v>1377219</v>
      </c>
      <c r="L409" s="25">
        <v>599592</v>
      </c>
      <c r="M409" s="23" t="s">
        <v>366</v>
      </c>
      <c r="N409" s="23" t="s">
        <v>412</v>
      </c>
    </row>
    <row r="410" spans="1:14" x14ac:dyDescent="0.35">
      <c r="A410" s="23" t="s">
        <v>275</v>
      </c>
      <c r="B410" s="24">
        <v>45754</v>
      </c>
      <c r="C410" s="23" t="s">
        <v>340</v>
      </c>
      <c r="D410" s="23" t="s">
        <v>350</v>
      </c>
      <c r="E410" s="23" t="s">
        <v>352</v>
      </c>
      <c r="F410" s="23" t="s">
        <v>355</v>
      </c>
      <c r="G410" s="23" t="s">
        <v>363</v>
      </c>
      <c r="H410" s="23">
        <v>61</v>
      </c>
      <c r="I410" s="25">
        <v>6259</v>
      </c>
      <c r="J410" s="25">
        <v>5294</v>
      </c>
      <c r="K410" s="25">
        <v>381799</v>
      </c>
      <c r="L410" s="25">
        <v>588651</v>
      </c>
      <c r="M410" s="23" t="s">
        <v>365</v>
      </c>
      <c r="N410" s="23" t="s">
        <v>417</v>
      </c>
    </row>
    <row r="411" spans="1:14" x14ac:dyDescent="0.35">
      <c r="A411" s="23" t="s">
        <v>276</v>
      </c>
      <c r="B411" s="24">
        <v>45530</v>
      </c>
      <c r="C411" s="23" t="s">
        <v>340</v>
      </c>
      <c r="D411" s="23" t="s">
        <v>350</v>
      </c>
      <c r="E411" s="23" t="s">
        <v>354</v>
      </c>
      <c r="F411" s="23" t="s">
        <v>361</v>
      </c>
      <c r="G411" s="23" t="s">
        <v>362</v>
      </c>
      <c r="H411" s="23">
        <v>152</v>
      </c>
      <c r="I411" s="25">
        <v>4634</v>
      </c>
      <c r="J411" s="25">
        <v>313</v>
      </c>
      <c r="K411" s="25">
        <v>901602</v>
      </c>
      <c r="L411" s="25">
        <v>246392</v>
      </c>
      <c r="M411" s="23" t="s">
        <v>371</v>
      </c>
      <c r="N411" s="23" t="s">
        <v>415</v>
      </c>
    </row>
    <row r="412" spans="1:14" x14ac:dyDescent="0.35">
      <c r="A412" s="23" t="s">
        <v>277</v>
      </c>
      <c r="B412" s="24">
        <v>45711</v>
      </c>
      <c r="C412" s="23" t="s">
        <v>339</v>
      </c>
      <c r="D412" s="23" t="s">
        <v>350</v>
      </c>
      <c r="E412" s="23" t="s">
        <v>352</v>
      </c>
      <c r="F412" s="23" t="s">
        <v>357</v>
      </c>
      <c r="G412" s="23" t="s">
        <v>363</v>
      </c>
      <c r="H412" s="23">
        <v>267</v>
      </c>
      <c r="I412" s="25">
        <v>1473</v>
      </c>
      <c r="J412" s="25">
        <v>8697</v>
      </c>
      <c r="K412" s="25">
        <v>393291</v>
      </c>
      <c r="L412" s="25">
        <v>192888</v>
      </c>
      <c r="M412" s="23" t="s">
        <v>374</v>
      </c>
      <c r="N412" s="23" t="s">
        <v>412</v>
      </c>
    </row>
    <row r="413" spans="1:14" x14ac:dyDescent="0.35">
      <c r="A413" s="23" t="s">
        <v>470</v>
      </c>
      <c r="B413" s="24">
        <v>45329</v>
      </c>
      <c r="C413" s="23" t="s">
        <v>340</v>
      </c>
      <c r="D413" s="23" t="s">
        <v>346</v>
      </c>
      <c r="E413" s="23" t="s">
        <v>353</v>
      </c>
      <c r="F413" s="23" t="s">
        <v>360</v>
      </c>
      <c r="G413" s="23" t="s">
        <v>362</v>
      </c>
      <c r="H413" s="23">
        <v>88</v>
      </c>
      <c r="I413" s="25">
        <v>3742</v>
      </c>
      <c r="J413" s="25">
        <v>5751</v>
      </c>
      <c r="K413" s="25">
        <v>329296</v>
      </c>
      <c r="L413" s="25">
        <v>176792</v>
      </c>
      <c r="M413" s="23" t="s">
        <v>374</v>
      </c>
      <c r="N413" s="23" t="s">
        <v>414</v>
      </c>
    </row>
    <row r="414" spans="1:14" x14ac:dyDescent="0.35">
      <c r="A414" s="23" t="s">
        <v>278</v>
      </c>
      <c r="B414" s="24">
        <v>45623</v>
      </c>
      <c r="C414" s="23" t="s">
        <v>344</v>
      </c>
      <c r="D414" s="23" t="s">
        <v>346</v>
      </c>
      <c r="E414" s="23" t="s">
        <v>352</v>
      </c>
      <c r="F414" s="23" t="s">
        <v>356</v>
      </c>
      <c r="G414" s="23" t="s">
        <v>363</v>
      </c>
      <c r="H414" s="23">
        <v>169</v>
      </c>
      <c r="I414" s="25">
        <v>413</v>
      </c>
      <c r="J414" s="25">
        <v>3242</v>
      </c>
      <c r="K414" s="25">
        <v>69347</v>
      </c>
      <c r="L414" s="25">
        <v>14559</v>
      </c>
      <c r="M414" s="23" t="s">
        <v>373</v>
      </c>
      <c r="N414" s="23" t="s">
        <v>416</v>
      </c>
    </row>
    <row r="415" spans="1:14" x14ac:dyDescent="0.35">
      <c r="A415" s="23" t="s">
        <v>279</v>
      </c>
      <c r="B415" s="24">
        <v>45608</v>
      </c>
      <c r="C415" s="23" t="s">
        <v>340</v>
      </c>
      <c r="D415" s="23" t="s">
        <v>348</v>
      </c>
      <c r="E415" s="23" t="s">
        <v>351</v>
      </c>
      <c r="F415" s="23" t="s">
        <v>361</v>
      </c>
      <c r="G415" s="23" t="s">
        <v>363</v>
      </c>
      <c r="H415" s="23">
        <v>263</v>
      </c>
      <c r="I415" s="25">
        <v>0</v>
      </c>
      <c r="J415" s="25">
        <v>519</v>
      </c>
      <c r="K415" s="25">
        <v>224466</v>
      </c>
      <c r="L415" s="25">
        <v>267969</v>
      </c>
      <c r="M415" s="23" t="s">
        <v>373</v>
      </c>
      <c r="N415" s="23" t="s">
        <v>416</v>
      </c>
    </row>
    <row r="416" spans="1:14" x14ac:dyDescent="0.35">
      <c r="A416" s="23" t="s">
        <v>280</v>
      </c>
      <c r="B416" s="24">
        <v>45633</v>
      </c>
      <c r="C416" s="23" t="s">
        <v>339</v>
      </c>
      <c r="D416" s="23" t="s">
        <v>346</v>
      </c>
      <c r="E416" s="23" t="s">
        <v>352</v>
      </c>
      <c r="F416" s="23" t="s">
        <v>359</v>
      </c>
      <c r="G416" s="23" t="s">
        <v>363</v>
      </c>
      <c r="H416" s="23">
        <v>195</v>
      </c>
      <c r="I416" s="25">
        <v>2349</v>
      </c>
      <c r="J416" s="25">
        <v>7843</v>
      </c>
      <c r="K416" s="25">
        <v>45855</v>
      </c>
      <c r="L416" s="25">
        <v>1911316</v>
      </c>
      <c r="M416" s="23" t="s">
        <v>375</v>
      </c>
      <c r="N416" s="23" t="s">
        <v>416</v>
      </c>
    </row>
    <row r="417" spans="1:14" x14ac:dyDescent="0.35">
      <c r="A417" s="23" t="s">
        <v>281</v>
      </c>
      <c r="B417" s="24">
        <v>45470</v>
      </c>
      <c r="C417" s="23" t="s">
        <v>344</v>
      </c>
      <c r="D417" s="23" t="s">
        <v>346</v>
      </c>
      <c r="E417" s="23" t="s">
        <v>352</v>
      </c>
      <c r="F417" s="23" t="s">
        <v>360</v>
      </c>
      <c r="G417" s="23" t="s">
        <v>362</v>
      </c>
      <c r="H417" s="23">
        <v>171</v>
      </c>
      <c r="I417" s="25">
        <v>1511</v>
      </c>
      <c r="J417" s="25">
        <v>178</v>
      </c>
      <c r="K417" s="25">
        <v>1797381</v>
      </c>
      <c r="L417" s="25">
        <v>155313</v>
      </c>
      <c r="M417" s="23" t="s">
        <v>370</v>
      </c>
      <c r="N417" s="23" t="s">
        <v>413</v>
      </c>
    </row>
    <row r="418" spans="1:14" x14ac:dyDescent="0.35">
      <c r="A418" s="23" t="s">
        <v>282</v>
      </c>
      <c r="B418" s="24">
        <v>45675</v>
      </c>
      <c r="C418" s="23" t="s">
        <v>339</v>
      </c>
      <c r="D418" s="23" t="s">
        <v>348</v>
      </c>
      <c r="E418" s="23" t="s">
        <v>353</v>
      </c>
      <c r="F418" s="23" t="s">
        <v>355</v>
      </c>
      <c r="G418" s="23" t="s">
        <v>362</v>
      </c>
      <c r="H418" s="23">
        <v>219</v>
      </c>
      <c r="I418" s="25">
        <v>13113</v>
      </c>
      <c r="J418" s="25">
        <v>4633</v>
      </c>
      <c r="K418" s="25">
        <v>2871747</v>
      </c>
      <c r="L418" s="25">
        <v>185712</v>
      </c>
      <c r="M418" s="23" t="s">
        <v>366</v>
      </c>
      <c r="N418" s="23" t="s">
        <v>412</v>
      </c>
    </row>
    <row r="419" spans="1:14" x14ac:dyDescent="0.35">
      <c r="A419" s="23" t="s">
        <v>439</v>
      </c>
      <c r="B419" s="24">
        <v>45294</v>
      </c>
      <c r="C419" s="23" t="s">
        <v>340</v>
      </c>
      <c r="D419" s="23" t="s">
        <v>348</v>
      </c>
      <c r="E419" s="23" t="s">
        <v>353</v>
      </c>
      <c r="F419" s="23" t="s">
        <v>361</v>
      </c>
      <c r="G419" s="23" t="s">
        <v>362</v>
      </c>
      <c r="H419" s="23">
        <v>6</v>
      </c>
      <c r="I419" s="25">
        <v>1966</v>
      </c>
      <c r="J419" s="25">
        <v>5352</v>
      </c>
      <c r="K419" s="25">
        <v>2372648</v>
      </c>
      <c r="L419" s="25">
        <v>358916</v>
      </c>
      <c r="M419" s="23" t="s">
        <v>366</v>
      </c>
      <c r="N419" s="23" t="s">
        <v>414</v>
      </c>
    </row>
    <row r="420" spans="1:14" x14ac:dyDescent="0.35">
      <c r="A420" s="23" t="s">
        <v>283</v>
      </c>
      <c r="B420" s="24">
        <v>45713</v>
      </c>
      <c r="C420" s="23" t="s">
        <v>339</v>
      </c>
      <c r="D420" s="23" t="s">
        <v>348</v>
      </c>
      <c r="E420" s="23" t="s">
        <v>351</v>
      </c>
      <c r="F420" s="23" t="s">
        <v>358</v>
      </c>
      <c r="G420" s="23" t="s">
        <v>363</v>
      </c>
      <c r="H420" s="23">
        <v>167</v>
      </c>
      <c r="I420" s="25">
        <v>3544</v>
      </c>
      <c r="J420" s="25">
        <v>4498</v>
      </c>
      <c r="K420" s="25">
        <v>591848</v>
      </c>
      <c r="L420" s="25">
        <v>159318</v>
      </c>
      <c r="M420" s="23" t="s">
        <v>374</v>
      </c>
      <c r="N420" s="23" t="s">
        <v>412</v>
      </c>
    </row>
    <row r="421" spans="1:14" x14ac:dyDescent="0.35">
      <c r="A421" s="23" t="s">
        <v>503</v>
      </c>
      <c r="B421" s="24">
        <v>45682</v>
      </c>
      <c r="C421" s="23" t="s">
        <v>345</v>
      </c>
      <c r="D421" s="23" t="s">
        <v>348</v>
      </c>
      <c r="E421" s="23" t="s">
        <v>354</v>
      </c>
      <c r="F421" s="23" t="s">
        <v>359</v>
      </c>
      <c r="G421" s="23" t="s">
        <v>362</v>
      </c>
      <c r="H421" s="23">
        <v>38</v>
      </c>
      <c r="I421" s="25">
        <v>567</v>
      </c>
      <c r="J421" s="25">
        <v>1764</v>
      </c>
      <c r="K421" s="25">
        <v>21546</v>
      </c>
      <c r="L421" s="25">
        <v>45486</v>
      </c>
      <c r="M421" s="23" t="s">
        <v>366</v>
      </c>
      <c r="N421" s="23" t="s">
        <v>412</v>
      </c>
    </row>
    <row r="422" spans="1:14" x14ac:dyDescent="0.35">
      <c r="A422" s="23" t="s">
        <v>284</v>
      </c>
      <c r="B422" s="24">
        <v>45459</v>
      </c>
      <c r="C422" s="23" t="s">
        <v>342</v>
      </c>
      <c r="D422" s="23" t="s">
        <v>381</v>
      </c>
      <c r="E422" s="23" t="s">
        <v>353</v>
      </c>
      <c r="F422" s="23" t="s">
        <v>361</v>
      </c>
      <c r="G422" s="23" t="s">
        <v>363</v>
      </c>
      <c r="H422" s="23">
        <v>186</v>
      </c>
      <c r="I422" s="25">
        <v>3288</v>
      </c>
      <c r="J422" s="25">
        <v>784</v>
      </c>
      <c r="K422" s="25">
        <v>611568</v>
      </c>
      <c r="L422" s="25">
        <v>846672</v>
      </c>
      <c r="M422" s="23" t="s">
        <v>370</v>
      </c>
      <c r="N422" s="23" t="s">
        <v>413</v>
      </c>
    </row>
    <row r="423" spans="1:14" x14ac:dyDescent="0.35">
      <c r="A423" s="23" t="s">
        <v>285</v>
      </c>
      <c r="B423" s="24">
        <v>45429</v>
      </c>
      <c r="C423" s="23" t="s">
        <v>340</v>
      </c>
      <c r="D423" s="23" t="s">
        <v>350</v>
      </c>
      <c r="E423" s="23" t="s">
        <v>354</v>
      </c>
      <c r="F423" s="23" t="s">
        <v>355</v>
      </c>
      <c r="G423" s="23" t="s">
        <v>363</v>
      </c>
      <c r="H423" s="23">
        <v>0</v>
      </c>
      <c r="I423" s="25">
        <v>1361</v>
      </c>
      <c r="J423" s="25">
        <v>3675</v>
      </c>
      <c r="K423" s="25">
        <v>58523</v>
      </c>
      <c r="L423" s="25">
        <v>42725</v>
      </c>
      <c r="M423" s="23" t="s">
        <v>368</v>
      </c>
      <c r="N423" s="23" t="s">
        <v>413</v>
      </c>
    </row>
    <row r="424" spans="1:14" x14ac:dyDescent="0.35">
      <c r="A424" s="23" t="s">
        <v>286</v>
      </c>
      <c r="B424" s="24">
        <v>45617</v>
      </c>
      <c r="C424" s="23" t="s">
        <v>339</v>
      </c>
      <c r="D424" s="23" t="s">
        <v>348</v>
      </c>
      <c r="E424" s="23" t="s">
        <v>353</v>
      </c>
      <c r="F424" s="23" t="s">
        <v>358</v>
      </c>
      <c r="G424" s="23" t="s">
        <v>362</v>
      </c>
      <c r="H424" s="23">
        <v>62</v>
      </c>
      <c r="I424" s="25">
        <v>9491</v>
      </c>
      <c r="J424" s="25">
        <v>2165</v>
      </c>
      <c r="K424" s="25">
        <v>588442</v>
      </c>
      <c r="L424" s="25">
        <v>454212</v>
      </c>
      <c r="M424" s="23" t="s">
        <v>373</v>
      </c>
      <c r="N424" s="23" t="s">
        <v>416</v>
      </c>
    </row>
    <row r="425" spans="1:14" x14ac:dyDescent="0.35">
      <c r="A425" s="23" t="s">
        <v>504</v>
      </c>
      <c r="B425" s="24">
        <v>45345</v>
      </c>
      <c r="C425" s="23" t="s">
        <v>345</v>
      </c>
      <c r="D425" s="23" t="s">
        <v>346</v>
      </c>
      <c r="E425" s="23" t="s">
        <v>353</v>
      </c>
      <c r="F425" s="23" t="s">
        <v>357</v>
      </c>
      <c r="G425" s="23" t="s">
        <v>362</v>
      </c>
      <c r="H425" s="23">
        <v>217</v>
      </c>
      <c r="I425" s="25">
        <v>8973</v>
      </c>
      <c r="J425" s="25">
        <v>7336</v>
      </c>
      <c r="K425" s="25">
        <v>1947141</v>
      </c>
      <c r="L425" s="25">
        <v>355229</v>
      </c>
      <c r="M425" s="23" t="s">
        <v>374</v>
      </c>
      <c r="N425" s="23" t="s">
        <v>414</v>
      </c>
    </row>
    <row r="426" spans="1:14" x14ac:dyDescent="0.35">
      <c r="A426" s="23" t="s">
        <v>287</v>
      </c>
      <c r="B426" s="24">
        <v>45479</v>
      </c>
      <c r="C426" s="23" t="s">
        <v>341</v>
      </c>
      <c r="D426" s="23" t="s">
        <v>346</v>
      </c>
      <c r="E426" s="23" t="s">
        <v>354</v>
      </c>
      <c r="F426" s="23" t="s">
        <v>357</v>
      </c>
      <c r="G426" s="23" t="s">
        <v>362</v>
      </c>
      <c r="H426" s="23">
        <v>293</v>
      </c>
      <c r="I426" s="25">
        <v>1219</v>
      </c>
      <c r="J426" s="25">
        <v>283</v>
      </c>
      <c r="K426" s="25">
        <v>357167</v>
      </c>
      <c r="L426" s="25">
        <v>275391</v>
      </c>
      <c r="M426" s="23" t="s">
        <v>372</v>
      </c>
      <c r="N426" s="23" t="s">
        <v>415</v>
      </c>
    </row>
    <row r="427" spans="1:14" x14ac:dyDescent="0.35">
      <c r="A427" s="23" t="s">
        <v>288</v>
      </c>
      <c r="B427" s="24">
        <v>45540</v>
      </c>
      <c r="C427" s="23" t="s">
        <v>340</v>
      </c>
      <c r="D427" s="23" t="s">
        <v>348</v>
      </c>
      <c r="E427" s="23" t="s">
        <v>353</v>
      </c>
      <c r="F427" s="23" t="s">
        <v>361</v>
      </c>
      <c r="G427" s="23" t="s">
        <v>363</v>
      </c>
      <c r="H427" s="23">
        <v>194</v>
      </c>
      <c r="I427" s="25">
        <v>135</v>
      </c>
      <c r="J427" s="25">
        <v>554</v>
      </c>
      <c r="K427" s="25">
        <v>25317</v>
      </c>
      <c r="L427" s="25">
        <v>1463924</v>
      </c>
      <c r="M427" s="23" t="s">
        <v>367</v>
      </c>
      <c r="N427" s="23" t="s">
        <v>415</v>
      </c>
    </row>
    <row r="428" spans="1:14" x14ac:dyDescent="0.35">
      <c r="A428" s="23" t="s">
        <v>289</v>
      </c>
      <c r="B428" s="24">
        <v>45604</v>
      </c>
      <c r="C428" s="23" t="s">
        <v>339</v>
      </c>
      <c r="D428" s="23" t="s">
        <v>346</v>
      </c>
      <c r="E428" s="23" t="s">
        <v>351</v>
      </c>
      <c r="F428" s="23" t="s">
        <v>355</v>
      </c>
      <c r="G428" s="23" t="s">
        <v>362</v>
      </c>
      <c r="H428" s="23">
        <v>12</v>
      </c>
      <c r="I428" s="25">
        <v>7789</v>
      </c>
      <c r="J428" s="25">
        <v>8479</v>
      </c>
      <c r="K428" s="25">
        <v>93468</v>
      </c>
      <c r="L428" s="25">
        <v>828</v>
      </c>
      <c r="M428" s="23" t="s">
        <v>373</v>
      </c>
      <c r="N428" s="23" t="s">
        <v>416</v>
      </c>
    </row>
    <row r="429" spans="1:14" x14ac:dyDescent="0.35">
      <c r="A429" s="23" t="s">
        <v>290</v>
      </c>
      <c r="B429" s="24">
        <v>45460</v>
      </c>
      <c r="C429" s="23" t="s">
        <v>340</v>
      </c>
      <c r="D429" s="23" t="s">
        <v>348</v>
      </c>
      <c r="E429" s="23" t="s">
        <v>354</v>
      </c>
      <c r="F429" s="23" t="s">
        <v>357</v>
      </c>
      <c r="G429" s="23" t="s">
        <v>362</v>
      </c>
      <c r="H429" s="23">
        <v>112</v>
      </c>
      <c r="I429" s="25">
        <v>193</v>
      </c>
      <c r="J429" s="25">
        <v>3631</v>
      </c>
      <c r="K429" s="25">
        <v>122416</v>
      </c>
      <c r="L429" s="25">
        <v>284256</v>
      </c>
      <c r="M429" s="23" t="s">
        <v>370</v>
      </c>
      <c r="N429" s="23" t="s">
        <v>413</v>
      </c>
    </row>
    <row r="430" spans="1:14" x14ac:dyDescent="0.35">
      <c r="A430" s="23" t="s">
        <v>291</v>
      </c>
      <c r="B430" s="24">
        <v>45609</v>
      </c>
      <c r="C430" s="23" t="s">
        <v>338</v>
      </c>
      <c r="D430" s="23" t="s">
        <v>346</v>
      </c>
      <c r="E430" s="23" t="s">
        <v>353</v>
      </c>
      <c r="F430" s="23" t="s">
        <v>381</v>
      </c>
      <c r="G430" s="23" t="s">
        <v>363</v>
      </c>
      <c r="H430" s="23">
        <v>141</v>
      </c>
      <c r="I430" s="25">
        <v>13644</v>
      </c>
      <c r="J430" s="25">
        <v>9224</v>
      </c>
      <c r="K430" s="25">
        <v>192384</v>
      </c>
      <c r="L430" s="25">
        <v>62322</v>
      </c>
      <c r="M430" s="23" t="s">
        <v>373</v>
      </c>
      <c r="N430" s="23" t="s">
        <v>416</v>
      </c>
    </row>
    <row r="431" spans="1:14" x14ac:dyDescent="0.35">
      <c r="A431" s="23" t="s">
        <v>292</v>
      </c>
      <c r="B431" s="24">
        <v>45764</v>
      </c>
      <c r="C431" s="23" t="s">
        <v>344</v>
      </c>
      <c r="D431" s="23" t="s">
        <v>348</v>
      </c>
      <c r="E431" s="23" t="s">
        <v>354</v>
      </c>
      <c r="F431" s="23" t="s">
        <v>361</v>
      </c>
      <c r="G431" s="23" t="s">
        <v>362</v>
      </c>
      <c r="H431" s="23">
        <v>283</v>
      </c>
      <c r="I431" s="25">
        <v>8954</v>
      </c>
      <c r="J431" s="25">
        <v>7417</v>
      </c>
      <c r="K431" s="25">
        <v>2533982</v>
      </c>
      <c r="L431" s="25">
        <v>434971</v>
      </c>
      <c r="M431" s="23" t="s">
        <v>365</v>
      </c>
      <c r="N431" s="23" t="s">
        <v>417</v>
      </c>
    </row>
    <row r="432" spans="1:14" x14ac:dyDescent="0.35">
      <c r="A432" s="23" t="s">
        <v>293</v>
      </c>
      <c r="B432" s="24">
        <v>45545</v>
      </c>
      <c r="C432" s="23" t="s">
        <v>345</v>
      </c>
      <c r="D432" s="23" t="s">
        <v>348</v>
      </c>
      <c r="E432" s="23" t="s">
        <v>351</v>
      </c>
      <c r="F432" s="23" t="s">
        <v>356</v>
      </c>
      <c r="G432" s="23" t="s">
        <v>363</v>
      </c>
      <c r="H432" s="23">
        <v>0</v>
      </c>
      <c r="I432" s="25">
        <v>13976</v>
      </c>
      <c r="J432" s="25">
        <v>125</v>
      </c>
      <c r="K432" s="25">
        <v>3312312</v>
      </c>
      <c r="L432" s="25">
        <v>326727</v>
      </c>
      <c r="M432" s="23" t="s">
        <v>367</v>
      </c>
      <c r="N432" s="23" t="s">
        <v>415</v>
      </c>
    </row>
    <row r="433" spans="1:14" x14ac:dyDescent="0.35">
      <c r="A433" s="23" t="s">
        <v>443</v>
      </c>
      <c r="B433" s="24">
        <v>45642</v>
      </c>
      <c r="C433" s="23" t="s">
        <v>340</v>
      </c>
      <c r="D433" s="23" t="s">
        <v>346</v>
      </c>
      <c r="E433" s="23" t="s">
        <v>351</v>
      </c>
      <c r="F433" s="23" t="s">
        <v>358</v>
      </c>
      <c r="G433" s="23" t="s">
        <v>362</v>
      </c>
      <c r="H433" s="23">
        <v>144</v>
      </c>
      <c r="I433" s="25">
        <v>837</v>
      </c>
      <c r="J433" s="25">
        <v>784</v>
      </c>
      <c r="K433" s="25">
        <v>12528</v>
      </c>
      <c r="L433" s="25">
        <v>185184</v>
      </c>
      <c r="M433" s="23" t="s">
        <v>375</v>
      </c>
      <c r="N433" s="23" t="s">
        <v>416</v>
      </c>
    </row>
    <row r="434" spans="1:14" x14ac:dyDescent="0.35">
      <c r="A434" s="23" t="s">
        <v>294</v>
      </c>
      <c r="B434" s="24">
        <v>45656</v>
      </c>
      <c r="C434" s="23" t="s">
        <v>344</v>
      </c>
      <c r="D434" s="23" t="s">
        <v>346</v>
      </c>
      <c r="E434" s="23" t="s">
        <v>353</v>
      </c>
      <c r="F434" s="23" t="s">
        <v>361</v>
      </c>
      <c r="G434" s="23" t="s">
        <v>362</v>
      </c>
      <c r="H434" s="23">
        <v>289</v>
      </c>
      <c r="I434" s="25">
        <v>13146</v>
      </c>
      <c r="J434" s="25">
        <v>2161</v>
      </c>
      <c r="K434" s="25">
        <v>3799194</v>
      </c>
      <c r="L434" s="25">
        <v>3174665</v>
      </c>
      <c r="M434" s="23" t="s">
        <v>375</v>
      </c>
      <c r="N434" s="23" t="s">
        <v>416</v>
      </c>
    </row>
    <row r="435" spans="1:14" x14ac:dyDescent="0.35">
      <c r="A435" s="23" t="s">
        <v>295</v>
      </c>
      <c r="B435" s="24">
        <v>45570</v>
      </c>
      <c r="C435" s="23" t="s">
        <v>345</v>
      </c>
      <c r="D435" s="23" t="s">
        <v>346</v>
      </c>
      <c r="E435" s="23" t="s">
        <v>352</v>
      </c>
      <c r="F435" s="23" t="s">
        <v>359</v>
      </c>
      <c r="G435" s="23" t="s">
        <v>363</v>
      </c>
      <c r="H435" s="23">
        <v>232</v>
      </c>
      <c r="I435" s="25">
        <v>1382</v>
      </c>
      <c r="J435" s="25">
        <v>9972</v>
      </c>
      <c r="K435" s="25">
        <v>248624</v>
      </c>
      <c r="L435" s="25">
        <v>9511</v>
      </c>
      <c r="M435" s="23" t="s">
        <v>369</v>
      </c>
      <c r="N435" s="23" t="s">
        <v>416</v>
      </c>
    </row>
    <row r="436" spans="1:14" x14ac:dyDescent="0.35">
      <c r="A436" s="23" t="s">
        <v>296</v>
      </c>
      <c r="B436" s="24">
        <v>45539</v>
      </c>
      <c r="C436" s="23" t="s">
        <v>339</v>
      </c>
      <c r="D436" s="23" t="s">
        <v>346</v>
      </c>
      <c r="E436" s="23" t="s">
        <v>351</v>
      </c>
      <c r="F436" s="23" t="s">
        <v>361</v>
      </c>
      <c r="G436" s="23" t="s">
        <v>363</v>
      </c>
      <c r="H436" s="23">
        <v>134</v>
      </c>
      <c r="I436" s="25">
        <v>14557</v>
      </c>
      <c r="J436" s="25">
        <v>7658</v>
      </c>
      <c r="K436" s="25">
        <v>195638</v>
      </c>
      <c r="L436" s="25">
        <v>924466</v>
      </c>
      <c r="M436" s="23" t="s">
        <v>367</v>
      </c>
      <c r="N436" s="23" t="s">
        <v>415</v>
      </c>
    </row>
    <row r="437" spans="1:14" x14ac:dyDescent="0.35">
      <c r="A437" s="23" t="s">
        <v>479</v>
      </c>
      <c r="B437" s="24">
        <v>45472</v>
      </c>
      <c r="C437" s="23" t="s">
        <v>339</v>
      </c>
      <c r="D437" s="23" t="s">
        <v>350</v>
      </c>
      <c r="E437" s="23" t="s">
        <v>353</v>
      </c>
      <c r="F437" s="23" t="s">
        <v>361</v>
      </c>
      <c r="G437" s="23" t="s">
        <v>362</v>
      </c>
      <c r="H437" s="23">
        <v>159</v>
      </c>
      <c r="I437" s="25">
        <v>0</v>
      </c>
      <c r="J437" s="25">
        <v>24</v>
      </c>
      <c r="K437" s="25">
        <v>1922469</v>
      </c>
      <c r="L437" s="25">
        <v>154869</v>
      </c>
      <c r="M437" s="23" t="s">
        <v>370</v>
      </c>
      <c r="N437" s="23" t="s">
        <v>413</v>
      </c>
    </row>
    <row r="438" spans="1:14" x14ac:dyDescent="0.35">
      <c r="A438" s="23" t="s">
        <v>489</v>
      </c>
      <c r="B438" s="24">
        <v>45762</v>
      </c>
      <c r="C438" s="23" t="s">
        <v>338</v>
      </c>
      <c r="D438" s="23" t="s">
        <v>348</v>
      </c>
      <c r="E438" s="23" t="s">
        <v>351</v>
      </c>
      <c r="F438" s="23" t="s">
        <v>356</v>
      </c>
      <c r="G438" s="23" t="s">
        <v>363</v>
      </c>
      <c r="H438" s="23">
        <v>75</v>
      </c>
      <c r="I438" s="25">
        <v>885</v>
      </c>
      <c r="J438" s="25">
        <v>1843</v>
      </c>
      <c r="K438" s="25">
        <v>66375</v>
      </c>
      <c r="L438" s="25">
        <v>7185</v>
      </c>
      <c r="M438" s="23" t="s">
        <v>365</v>
      </c>
      <c r="N438" s="23" t="s">
        <v>417</v>
      </c>
    </row>
    <row r="439" spans="1:14" x14ac:dyDescent="0.35">
      <c r="A439" s="23" t="s">
        <v>297</v>
      </c>
      <c r="B439" s="24">
        <v>45724</v>
      </c>
      <c r="C439" s="23" t="s">
        <v>345</v>
      </c>
      <c r="D439" s="23" t="s">
        <v>346</v>
      </c>
      <c r="E439" s="23" t="s">
        <v>351</v>
      </c>
      <c r="F439" s="23" t="s">
        <v>356</v>
      </c>
      <c r="G439" s="23" t="s">
        <v>362</v>
      </c>
      <c r="H439" s="23">
        <v>0</v>
      </c>
      <c r="I439" s="25">
        <v>6891</v>
      </c>
      <c r="J439" s="25">
        <v>6389</v>
      </c>
      <c r="K439" s="25">
        <v>1812333</v>
      </c>
      <c r="L439" s="25">
        <v>13226</v>
      </c>
      <c r="M439" s="23" t="s">
        <v>364</v>
      </c>
      <c r="N439" s="23" t="s">
        <v>412</v>
      </c>
    </row>
    <row r="440" spans="1:14" x14ac:dyDescent="0.35">
      <c r="A440" s="23" t="s">
        <v>298</v>
      </c>
      <c r="B440" s="24">
        <v>45581</v>
      </c>
      <c r="C440" s="23" t="s">
        <v>338</v>
      </c>
      <c r="D440" s="23" t="s">
        <v>381</v>
      </c>
      <c r="E440" s="23" t="s">
        <v>352</v>
      </c>
      <c r="F440" s="23" t="s">
        <v>355</v>
      </c>
      <c r="G440" s="23" t="s">
        <v>362</v>
      </c>
      <c r="H440" s="23">
        <v>255</v>
      </c>
      <c r="I440" s="25">
        <v>1416</v>
      </c>
      <c r="J440" s="25">
        <v>9518</v>
      </c>
      <c r="K440" s="25">
        <v>35973</v>
      </c>
      <c r="L440" s="25">
        <v>116994</v>
      </c>
      <c r="M440" s="23" t="s">
        <v>369</v>
      </c>
      <c r="N440" s="23" t="s">
        <v>416</v>
      </c>
    </row>
    <row r="441" spans="1:14" x14ac:dyDescent="0.35">
      <c r="A441" s="23" t="s">
        <v>299</v>
      </c>
      <c r="B441" s="24">
        <v>45614</v>
      </c>
      <c r="C441" s="23" t="s">
        <v>343</v>
      </c>
      <c r="D441" s="23" t="s">
        <v>350</v>
      </c>
      <c r="E441" s="23" t="s">
        <v>352</v>
      </c>
      <c r="F441" s="23" t="s">
        <v>381</v>
      </c>
      <c r="G441" s="23" t="s">
        <v>362</v>
      </c>
      <c r="H441" s="23">
        <v>5</v>
      </c>
      <c r="I441" s="25">
        <v>5356</v>
      </c>
      <c r="J441" s="25">
        <v>1427</v>
      </c>
      <c r="K441" s="25">
        <v>2678</v>
      </c>
      <c r="L441" s="25">
        <v>19645</v>
      </c>
      <c r="M441" s="23" t="s">
        <v>373</v>
      </c>
      <c r="N441" s="23" t="s">
        <v>416</v>
      </c>
    </row>
    <row r="442" spans="1:14" x14ac:dyDescent="0.35">
      <c r="A442" s="23" t="s">
        <v>418</v>
      </c>
      <c r="B442" s="24">
        <v>45295</v>
      </c>
      <c r="C442" s="23" t="s">
        <v>345</v>
      </c>
      <c r="D442" s="23" t="s">
        <v>346</v>
      </c>
      <c r="E442" s="23" t="s">
        <v>354</v>
      </c>
      <c r="F442" s="23" t="s">
        <v>358</v>
      </c>
      <c r="G442" s="23" t="s">
        <v>363</v>
      </c>
      <c r="H442" s="23">
        <v>71</v>
      </c>
      <c r="I442" s="25">
        <v>172</v>
      </c>
      <c r="J442" s="25">
        <v>1882</v>
      </c>
      <c r="K442" s="25">
        <v>12212</v>
      </c>
      <c r="L442" s="25">
        <v>1152</v>
      </c>
      <c r="M442" s="23" t="s">
        <v>366</v>
      </c>
      <c r="N442" s="23" t="s">
        <v>414</v>
      </c>
    </row>
    <row r="443" spans="1:14" x14ac:dyDescent="0.35">
      <c r="A443" s="23" t="s">
        <v>427</v>
      </c>
      <c r="B443" s="24">
        <v>45772</v>
      </c>
      <c r="C443" s="23" t="s">
        <v>339</v>
      </c>
      <c r="D443" s="23" t="s">
        <v>346</v>
      </c>
      <c r="E443" s="23" t="s">
        <v>354</v>
      </c>
      <c r="F443" s="23" t="s">
        <v>358</v>
      </c>
      <c r="G443" s="23" t="s">
        <v>362</v>
      </c>
      <c r="H443" s="23">
        <v>52</v>
      </c>
      <c r="I443" s="25">
        <v>4387</v>
      </c>
      <c r="J443" s="25">
        <v>1297</v>
      </c>
      <c r="K443" s="25">
        <v>228124</v>
      </c>
      <c r="L443" s="25">
        <v>1668</v>
      </c>
      <c r="M443" s="23" t="s">
        <v>365</v>
      </c>
      <c r="N443" s="23" t="s">
        <v>417</v>
      </c>
    </row>
    <row r="444" spans="1:14" x14ac:dyDescent="0.35">
      <c r="A444" s="23" t="s">
        <v>467</v>
      </c>
      <c r="B444" s="24">
        <v>45315</v>
      </c>
      <c r="C444" s="23" t="s">
        <v>344</v>
      </c>
      <c r="D444" s="23" t="s">
        <v>348</v>
      </c>
      <c r="E444" s="23" t="s">
        <v>354</v>
      </c>
      <c r="F444" s="23" t="s">
        <v>359</v>
      </c>
      <c r="G444" s="23" t="s">
        <v>363</v>
      </c>
      <c r="H444" s="23">
        <v>58</v>
      </c>
      <c r="I444" s="25">
        <v>2112</v>
      </c>
      <c r="J444" s="25">
        <v>434</v>
      </c>
      <c r="K444" s="25">
        <v>122496</v>
      </c>
      <c r="L444" s="25">
        <v>127136</v>
      </c>
      <c r="M444" s="23" t="s">
        <v>366</v>
      </c>
      <c r="N444" s="23" t="s">
        <v>414</v>
      </c>
    </row>
    <row r="445" spans="1:14" x14ac:dyDescent="0.35">
      <c r="A445" s="23" t="s">
        <v>300</v>
      </c>
      <c r="B445" s="24">
        <v>45768</v>
      </c>
      <c r="C445" s="23" t="s">
        <v>343</v>
      </c>
      <c r="D445" s="23" t="s">
        <v>346</v>
      </c>
      <c r="E445" s="23" t="s">
        <v>354</v>
      </c>
      <c r="F445" s="23" t="s">
        <v>356</v>
      </c>
      <c r="G445" s="23" t="s">
        <v>363</v>
      </c>
      <c r="H445" s="23">
        <v>143</v>
      </c>
      <c r="I445" s="25">
        <v>5456</v>
      </c>
      <c r="J445" s="25">
        <v>896</v>
      </c>
      <c r="K445" s="25">
        <v>7828</v>
      </c>
      <c r="L445" s="25">
        <v>37752</v>
      </c>
      <c r="M445" s="23" t="s">
        <v>365</v>
      </c>
      <c r="N445" s="23" t="s">
        <v>417</v>
      </c>
    </row>
    <row r="446" spans="1:14" x14ac:dyDescent="0.35">
      <c r="A446" s="23" t="s">
        <v>301</v>
      </c>
      <c r="B446" s="24">
        <v>45773</v>
      </c>
      <c r="C446" s="23" t="s">
        <v>342</v>
      </c>
      <c r="D446" s="23" t="s">
        <v>348</v>
      </c>
      <c r="E446" s="23" t="s">
        <v>353</v>
      </c>
      <c r="F446" s="23" t="s">
        <v>356</v>
      </c>
      <c r="G446" s="23" t="s">
        <v>362</v>
      </c>
      <c r="H446" s="23">
        <v>15</v>
      </c>
      <c r="I446" s="25">
        <v>955</v>
      </c>
      <c r="J446" s="25">
        <v>2844</v>
      </c>
      <c r="K446" s="25">
        <v>14325</v>
      </c>
      <c r="L446" s="25">
        <v>159</v>
      </c>
      <c r="M446" s="23" t="s">
        <v>365</v>
      </c>
      <c r="N446" s="23" t="s">
        <v>417</v>
      </c>
    </row>
    <row r="447" spans="1:14" x14ac:dyDescent="0.35">
      <c r="A447" s="23" t="s">
        <v>302</v>
      </c>
      <c r="B447" s="24">
        <v>45455</v>
      </c>
      <c r="C447" s="23" t="s">
        <v>344</v>
      </c>
      <c r="D447" s="23" t="s">
        <v>348</v>
      </c>
      <c r="E447" s="23" t="s">
        <v>354</v>
      </c>
      <c r="F447" s="23" t="s">
        <v>355</v>
      </c>
      <c r="G447" s="23" t="s">
        <v>362</v>
      </c>
      <c r="H447" s="23">
        <v>112</v>
      </c>
      <c r="I447" s="25">
        <v>1353</v>
      </c>
      <c r="J447" s="25">
        <v>2461</v>
      </c>
      <c r="K447" s="25">
        <v>1512336</v>
      </c>
      <c r="L447" s="25">
        <v>123674</v>
      </c>
      <c r="M447" s="23" t="s">
        <v>370</v>
      </c>
      <c r="N447" s="23" t="s">
        <v>413</v>
      </c>
    </row>
    <row r="448" spans="1:14" x14ac:dyDescent="0.35">
      <c r="A448" s="23" t="s">
        <v>303</v>
      </c>
      <c r="B448" s="24">
        <v>45480</v>
      </c>
      <c r="C448" s="23" t="s">
        <v>341</v>
      </c>
      <c r="D448" s="23" t="s">
        <v>348</v>
      </c>
      <c r="E448" s="23" t="s">
        <v>354</v>
      </c>
      <c r="F448" s="23" t="s">
        <v>381</v>
      </c>
      <c r="G448" s="23" t="s">
        <v>362</v>
      </c>
      <c r="H448" s="23">
        <v>279</v>
      </c>
      <c r="I448" s="25">
        <v>1135</v>
      </c>
      <c r="J448" s="25">
        <v>1469</v>
      </c>
      <c r="K448" s="25">
        <v>316665</v>
      </c>
      <c r="L448" s="25">
        <v>2756799</v>
      </c>
      <c r="M448" s="23" t="s">
        <v>372</v>
      </c>
      <c r="N448" s="23" t="s">
        <v>415</v>
      </c>
    </row>
    <row r="449" spans="1:14" x14ac:dyDescent="0.35">
      <c r="A449" s="23" t="s">
        <v>304</v>
      </c>
      <c r="B449" s="24">
        <v>45738</v>
      </c>
      <c r="C449" s="23" t="s">
        <v>338</v>
      </c>
      <c r="D449" s="23" t="s">
        <v>346</v>
      </c>
      <c r="E449" s="23" t="s">
        <v>354</v>
      </c>
      <c r="F449" s="23" t="s">
        <v>359</v>
      </c>
      <c r="G449" s="23" t="s">
        <v>363</v>
      </c>
      <c r="H449" s="23">
        <v>176</v>
      </c>
      <c r="I449" s="25">
        <v>19725</v>
      </c>
      <c r="J449" s="25">
        <v>5245</v>
      </c>
      <c r="K449" s="25">
        <v>176954</v>
      </c>
      <c r="L449" s="25">
        <v>846384</v>
      </c>
      <c r="M449" s="23" t="s">
        <v>364</v>
      </c>
      <c r="N449" s="23" t="s">
        <v>412</v>
      </c>
    </row>
    <row r="450" spans="1:14" x14ac:dyDescent="0.35">
      <c r="A450" s="23" t="s">
        <v>503</v>
      </c>
      <c r="B450" s="24">
        <v>45331</v>
      </c>
      <c r="C450" s="23" t="s">
        <v>341</v>
      </c>
      <c r="D450" s="23" t="s">
        <v>350</v>
      </c>
      <c r="E450" s="23" t="s">
        <v>354</v>
      </c>
      <c r="F450" s="23" t="s">
        <v>358</v>
      </c>
      <c r="G450" s="23" t="s">
        <v>363</v>
      </c>
      <c r="H450" s="23">
        <v>241</v>
      </c>
      <c r="I450" s="25">
        <v>676</v>
      </c>
      <c r="J450" s="25">
        <v>674</v>
      </c>
      <c r="K450" s="25">
        <v>162916</v>
      </c>
      <c r="L450" s="25">
        <v>1452748</v>
      </c>
      <c r="M450" s="23" t="s">
        <v>374</v>
      </c>
      <c r="N450" s="23" t="s">
        <v>414</v>
      </c>
    </row>
    <row r="451" spans="1:14" x14ac:dyDescent="0.35">
      <c r="A451" s="23" t="s">
        <v>305</v>
      </c>
      <c r="B451" s="24">
        <v>45574</v>
      </c>
      <c r="C451" s="23" t="s">
        <v>345</v>
      </c>
      <c r="D451" s="23" t="s">
        <v>348</v>
      </c>
      <c r="E451" s="23" t="s">
        <v>351</v>
      </c>
      <c r="F451" s="23" t="s">
        <v>359</v>
      </c>
      <c r="G451" s="23" t="s">
        <v>362</v>
      </c>
      <c r="H451" s="23">
        <v>0</v>
      </c>
      <c r="I451" s="25">
        <v>6472</v>
      </c>
      <c r="J451" s="25">
        <v>7989</v>
      </c>
      <c r="K451" s="25">
        <v>2362542</v>
      </c>
      <c r="L451" s="25">
        <v>142598</v>
      </c>
      <c r="M451" s="23" t="s">
        <v>369</v>
      </c>
      <c r="N451" s="23" t="s">
        <v>416</v>
      </c>
    </row>
    <row r="452" spans="1:14" x14ac:dyDescent="0.35">
      <c r="A452" s="23" t="s">
        <v>306</v>
      </c>
      <c r="B452" s="24">
        <v>45571</v>
      </c>
      <c r="C452" s="23" t="s">
        <v>340</v>
      </c>
      <c r="D452" s="23" t="s">
        <v>346</v>
      </c>
      <c r="E452" s="23" t="s">
        <v>353</v>
      </c>
      <c r="F452" s="23" t="s">
        <v>357</v>
      </c>
      <c r="G452" s="23" t="s">
        <v>363</v>
      </c>
      <c r="H452" s="23">
        <v>36</v>
      </c>
      <c r="I452" s="25">
        <v>11523</v>
      </c>
      <c r="J452" s="25">
        <v>4377</v>
      </c>
      <c r="K452" s="25">
        <v>414828</v>
      </c>
      <c r="L452" s="25">
        <v>257256</v>
      </c>
      <c r="M452" s="23" t="s">
        <v>369</v>
      </c>
      <c r="N452" s="23" t="s">
        <v>416</v>
      </c>
    </row>
    <row r="453" spans="1:14" x14ac:dyDescent="0.35">
      <c r="A453" s="23" t="s">
        <v>307</v>
      </c>
      <c r="B453" s="24">
        <v>45658</v>
      </c>
      <c r="C453" s="23" t="s">
        <v>342</v>
      </c>
      <c r="D453" s="23" t="s">
        <v>346</v>
      </c>
      <c r="E453" s="23" t="s">
        <v>354</v>
      </c>
      <c r="F453" s="23" t="s">
        <v>359</v>
      </c>
      <c r="G453" s="23" t="s">
        <v>363</v>
      </c>
      <c r="H453" s="23">
        <v>125</v>
      </c>
      <c r="I453" s="25">
        <v>8694</v>
      </c>
      <c r="J453" s="25">
        <v>1225</v>
      </c>
      <c r="K453" s="25">
        <v>2474520</v>
      </c>
      <c r="L453" s="25">
        <v>933625</v>
      </c>
      <c r="M453" s="23" t="s">
        <v>366</v>
      </c>
      <c r="N453" s="23" t="s">
        <v>412</v>
      </c>
    </row>
    <row r="454" spans="1:14" x14ac:dyDescent="0.35">
      <c r="A454" s="23" t="s">
        <v>308</v>
      </c>
      <c r="B454" s="24">
        <v>45676</v>
      </c>
      <c r="C454" s="23" t="s">
        <v>338</v>
      </c>
      <c r="D454" s="23" t="s">
        <v>346</v>
      </c>
      <c r="E454" s="23" t="s">
        <v>352</v>
      </c>
      <c r="F454" s="23" t="s">
        <v>356</v>
      </c>
      <c r="G454" s="23" t="s">
        <v>362</v>
      </c>
      <c r="H454" s="23">
        <v>68</v>
      </c>
      <c r="I454" s="25">
        <v>823</v>
      </c>
      <c r="J454" s="25">
        <v>657</v>
      </c>
      <c r="K454" s="25">
        <v>545564</v>
      </c>
      <c r="L454" s="25">
        <v>1388</v>
      </c>
      <c r="M454" s="23" t="s">
        <v>366</v>
      </c>
      <c r="N454" s="23" t="s">
        <v>412</v>
      </c>
    </row>
    <row r="455" spans="1:14" x14ac:dyDescent="0.35">
      <c r="A455" s="23" t="s">
        <v>491</v>
      </c>
      <c r="B455" s="24">
        <v>45712</v>
      </c>
      <c r="C455" s="23" t="s">
        <v>339</v>
      </c>
      <c r="D455" s="23" t="s">
        <v>346</v>
      </c>
      <c r="E455" s="23" t="s">
        <v>353</v>
      </c>
      <c r="F455" s="23" t="s">
        <v>357</v>
      </c>
      <c r="G455" s="23" t="s">
        <v>363</v>
      </c>
      <c r="H455" s="23">
        <v>64</v>
      </c>
      <c r="I455" s="25">
        <v>11374</v>
      </c>
      <c r="J455" s="25">
        <v>5871</v>
      </c>
      <c r="K455" s="25">
        <v>727936</v>
      </c>
      <c r="L455" s="25">
        <v>352192</v>
      </c>
      <c r="M455" s="23" t="s">
        <v>374</v>
      </c>
      <c r="N455" s="23" t="s">
        <v>412</v>
      </c>
    </row>
    <row r="456" spans="1:14" x14ac:dyDescent="0.35">
      <c r="A456" s="23" t="s">
        <v>309</v>
      </c>
      <c r="B456" s="24">
        <v>45774</v>
      </c>
      <c r="C456" s="23" t="s">
        <v>343</v>
      </c>
      <c r="D456" s="23" t="s">
        <v>350</v>
      </c>
      <c r="E456" s="23" t="s">
        <v>352</v>
      </c>
      <c r="F456" s="23" t="s">
        <v>360</v>
      </c>
      <c r="G456" s="23" t="s">
        <v>363</v>
      </c>
      <c r="H456" s="23">
        <v>143</v>
      </c>
      <c r="I456" s="25">
        <v>6436</v>
      </c>
      <c r="J456" s="25">
        <v>759</v>
      </c>
      <c r="K456" s="25">
        <v>92348</v>
      </c>
      <c r="L456" s="25">
        <v>811811</v>
      </c>
      <c r="M456" s="23" t="s">
        <v>365</v>
      </c>
      <c r="N456" s="23" t="s">
        <v>417</v>
      </c>
    </row>
    <row r="457" spans="1:14" x14ac:dyDescent="0.35">
      <c r="A457" s="23" t="s">
        <v>466</v>
      </c>
      <c r="B457" s="24">
        <v>45562</v>
      </c>
      <c r="C457" s="23" t="s">
        <v>339</v>
      </c>
      <c r="D457" s="23" t="s">
        <v>348</v>
      </c>
      <c r="E457" s="23" t="s">
        <v>351</v>
      </c>
      <c r="F457" s="23" t="s">
        <v>358</v>
      </c>
      <c r="G457" s="23" t="s">
        <v>363</v>
      </c>
      <c r="H457" s="23">
        <v>48</v>
      </c>
      <c r="I457" s="25">
        <v>1251</v>
      </c>
      <c r="J457" s="25">
        <v>441</v>
      </c>
      <c r="K457" s="25">
        <v>54210</v>
      </c>
      <c r="L457" s="25">
        <v>3888</v>
      </c>
      <c r="M457" s="23" t="s">
        <v>367</v>
      </c>
      <c r="N457" s="23" t="s">
        <v>415</v>
      </c>
    </row>
    <row r="458" spans="1:14" x14ac:dyDescent="0.35">
      <c r="A458" s="23" t="s">
        <v>310</v>
      </c>
      <c r="B458" s="24">
        <v>45766</v>
      </c>
      <c r="C458" s="23" t="s">
        <v>338</v>
      </c>
      <c r="D458" s="23" t="s">
        <v>346</v>
      </c>
      <c r="E458" s="23" t="s">
        <v>353</v>
      </c>
      <c r="F458" s="23" t="s">
        <v>358</v>
      </c>
      <c r="G458" s="23" t="s">
        <v>363</v>
      </c>
      <c r="H458" s="23">
        <v>222</v>
      </c>
      <c r="I458" s="25">
        <v>13444</v>
      </c>
      <c r="J458" s="25">
        <v>4851</v>
      </c>
      <c r="K458" s="25">
        <v>2984568</v>
      </c>
      <c r="L458" s="25">
        <v>197646</v>
      </c>
      <c r="M458" s="23" t="s">
        <v>365</v>
      </c>
      <c r="N458" s="23" t="s">
        <v>417</v>
      </c>
    </row>
    <row r="459" spans="1:14" x14ac:dyDescent="0.35">
      <c r="A459" s="23" t="s">
        <v>311</v>
      </c>
      <c r="B459" s="24">
        <v>45785</v>
      </c>
      <c r="C459" s="23" t="s">
        <v>344</v>
      </c>
      <c r="D459" s="23" t="s">
        <v>346</v>
      </c>
      <c r="E459" s="23" t="s">
        <v>351</v>
      </c>
      <c r="F459" s="23" t="s">
        <v>358</v>
      </c>
      <c r="G459" s="23" t="s">
        <v>363</v>
      </c>
      <c r="H459" s="23">
        <v>214</v>
      </c>
      <c r="I459" s="25">
        <v>6666</v>
      </c>
      <c r="J459" s="25">
        <v>9869</v>
      </c>
      <c r="K459" s="25">
        <v>1426524</v>
      </c>
      <c r="L459" s="25">
        <v>685442</v>
      </c>
      <c r="M459" s="23" t="s">
        <v>368</v>
      </c>
      <c r="N459" s="23" t="s">
        <v>417</v>
      </c>
    </row>
    <row r="460" spans="1:14" x14ac:dyDescent="0.35">
      <c r="A460" s="23" t="s">
        <v>312</v>
      </c>
      <c r="B460" s="24">
        <v>45703</v>
      </c>
      <c r="C460" s="23" t="s">
        <v>343</v>
      </c>
      <c r="D460" s="23" t="s">
        <v>348</v>
      </c>
      <c r="E460" s="23" t="s">
        <v>353</v>
      </c>
      <c r="F460" s="23" t="s">
        <v>359</v>
      </c>
      <c r="G460" s="23" t="s">
        <v>363</v>
      </c>
      <c r="H460" s="23">
        <v>257</v>
      </c>
      <c r="I460" s="25">
        <v>382</v>
      </c>
      <c r="J460" s="25">
        <v>879</v>
      </c>
      <c r="K460" s="25">
        <v>79274</v>
      </c>
      <c r="L460" s="25">
        <v>1446139</v>
      </c>
      <c r="M460" s="23" t="s">
        <v>374</v>
      </c>
      <c r="N460" s="23" t="s">
        <v>412</v>
      </c>
    </row>
    <row r="461" spans="1:14" x14ac:dyDescent="0.35">
      <c r="A461" s="23" t="s">
        <v>425</v>
      </c>
      <c r="B461" s="24">
        <v>45337</v>
      </c>
      <c r="C461" s="23" t="s">
        <v>345</v>
      </c>
      <c r="D461" s="23" t="s">
        <v>346</v>
      </c>
      <c r="E461" s="23" t="s">
        <v>351</v>
      </c>
      <c r="F461" s="23" t="s">
        <v>356</v>
      </c>
      <c r="G461" s="23" t="s">
        <v>363</v>
      </c>
      <c r="H461" s="23">
        <v>5</v>
      </c>
      <c r="I461" s="25">
        <v>157</v>
      </c>
      <c r="J461" s="25">
        <v>632</v>
      </c>
      <c r="K461" s="25">
        <v>32185</v>
      </c>
      <c r="L461" s="25">
        <v>91471</v>
      </c>
      <c r="M461" s="23" t="s">
        <v>374</v>
      </c>
      <c r="N461" s="23" t="s">
        <v>414</v>
      </c>
    </row>
    <row r="462" spans="1:14" x14ac:dyDescent="0.35">
      <c r="A462" s="23" t="s">
        <v>455</v>
      </c>
      <c r="B462" s="24">
        <v>45394</v>
      </c>
      <c r="C462" s="23" t="s">
        <v>340</v>
      </c>
      <c r="D462" s="23" t="s">
        <v>350</v>
      </c>
      <c r="E462" s="23" t="s">
        <v>351</v>
      </c>
      <c r="F462" s="23" t="s">
        <v>355</v>
      </c>
      <c r="G462" s="23" t="s">
        <v>363</v>
      </c>
      <c r="H462" s="23">
        <v>256</v>
      </c>
      <c r="I462" s="25">
        <v>0</v>
      </c>
      <c r="J462" s="25">
        <v>1382</v>
      </c>
      <c r="K462" s="25">
        <v>2189824</v>
      </c>
      <c r="L462" s="25">
        <v>183632</v>
      </c>
      <c r="M462" s="23" t="s">
        <v>365</v>
      </c>
      <c r="N462" s="23" t="s">
        <v>413</v>
      </c>
    </row>
    <row r="463" spans="1:14" x14ac:dyDescent="0.35">
      <c r="A463" s="23" t="s">
        <v>313</v>
      </c>
      <c r="B463" s="24">
        <v>45403</v>
      </c>
      <c r="C463" s="23" t="s">
        <v>342</v>
      </c>
      <c r="D463" s="23" t="s">
        <v>346</v>
      </c>
      <c r="E463" s="23" t="s">
        <v>352</v>
      </c>
      <c r="F463" s="23" t="s">
        <v>360</v>
      </c>
      <c r="G463" s="23" t="s">
        <v>362</v>
      </c>
      <c r="H463" s="23">
        <v>62</v>
      </c>
      <c r="I463" s="25">
        <v>3815</v>
      </c>
      <c r="J463" s="25">
        <v>3324</v>
      </c>
      <c r="K463" s="25">
        <v>23653</v>
      </c>
      <c r="L463" s="25">
        <v>3442</v>
      </c>
      <c r="M463" s="23" t="s">
        <v>365</v>
      </c>
      <c r="N463" s="23" t="s">
        <v>413</v>
      </c>
    </row>
    <row r="464" spans="1:14" x14ac:dyDescent="0.35">
      <c r="A464" s="23" t="s">
        <v>314</v>
      </c>
      <c r="B464" s="24">
        <v>45438</v>
      </c>
      <c r="C464" s="23" t="s">
        <v>340</v>
      </c>
      <c r="D464" s="23" t="s">
        <v>348</v>
      </c>
      <c r="E464" s="23" t="s">
        <v>352</v>
      </c>
      <c r="F464" s="23" t="s">
        <v>356</v>
      </c>
      <c r="G464" s="23" t="s">
        <v>362</v>
      </c>
      <c r="H464" s="23">
        <v>232</v>
      </c>
      <c r="I464" s="25">
        <v>13936</v>
      </c>
      <c r="J464" s="25">
        <v>6861</v>
      </c>
      <c r="K464" s="25">
        <v>3233152</v>
      </c>
      <c r="L464" s="25">
        <v>16414</v>
      </c>
      <c r="M464" s="23" t="s">
        <v>368</v>
      </c>
      <c r="N464" s="23" t="s">
        <v>413</v>
      </c>
    </row>
    <row r="465" spans="1:14" x14ac:dyDescent="0.35">
      <c r="A465" s="23" t="s">
        <v>315</v>
      </c>
      <c r="B465" s="24">
        <v>45659</v>
      </c>
      <c r="C465" s="23" t="s">
        <v>338</v>
      </c>
      <c r="D465" s="23" t="s">
        <v>348</v>
      </c>
      <c r="E465" s="23" t="s">
        <v>352</v>
      </c>
      <c r="F465" s="23" t="s">
        <v>381</v>
      </c>
      <c r="G465" s="23" t="s">
        <v>363</v>
      </c>
      <c r="H465" s="23">
        <v>117</v>
      </c>
      <c r="I465" s="25">
        <v>22282</v>
      </c>
      <c r="J465" s="25">
        <v>6437</v>
      </c>
      <c r="K465" s="25">
        <v>124317</v>
      </c>
      <c r="L465" s="25">
        <v>487188</v>
      </c>
      <c r="M465" s="23" t="s">
        <v>366</v>
      </c>
      <c r="N465" s="23" t="s">
        <v>412</v>
      </c>
    </row>
    <row r="466" spans="1:14" x14ac:dyDescent="0.35">
      <c r="A466" s="23" t="s">
        <v>316</v>
      </c>
      <c r="B466" s="24">
        <v>45683</v>
      </c>
      <c r="C466" s="23" t="s">
        <v>345</v>
      </c>
      <c r="D466" s="23" t="s">
        <v>350</v>
      </c>
      <c r="E466" s="23" t="s">
        <v>352</v>
      </c>
      <c r="F466" s="23" t="s">
        <v>355</v>
      </c>
      <c r="G466" s="23" t="s">
        <v>363</v>
      </c>
      <c r="H466" s="23">
        <v>99</v>
      </c>
      <c r="I466" s="25">
        <v>5336</v>
      </c>
      <c r="J466" s="25">
        <v>8743</v>
      </c>
      <c r="K466" s="25">
        <v>528264</v>
      </c>
      <c r="L466" s="25">
        <v>337293</v>
      </c>
      <c r="M466" s="23" t="s">
        <v>366</v>
      </c>
      <c r="N466" s="23" t="s">
        <v>412</v>
      </c>
    </row>
    <row r="467" spans="1:14" x14ac:dyDescent="0.35">
      <c r="A467" s="23" t="s">
        <v>434</v>
      </c>
      <c r="B467" s="24">
        <v>45512</v>
      </c>
      <c r="C467" s="23" t="s">
        <v>340</v>
      </c>
      <c r="D467" s="23" t="s">
        <v>346</v>
      </c>
      <c r="E467" s="23" t="s">
        <v>351</v>
      </c>
      <c r="F467" s="23" t="s">
        <v>359</v>
      </c>
      <c r="G467" s="23" t="s">
        <v>363</v>
      </c>
      <c r="H467" s="23">
        <v>8</v>
      </c>
      <c r="I467" s="25">
        <v>8288</v>
      </c>
      <c r="J467" s="25">
        <v>843</v>
      </c>
      <c r="K467" s="25">
        <v>6634</v>
      </c>
      <c r="L467" s="25">
        <v>925</v>
      </c>
      <c r="M467" s="23" t="s">
        <v>371</v>
      </c>
      <c r="N467" s="23" t="s">
        <v>415</v>
      </c>
    </row>
    <row r="468" spans="1:14" x14ac:dyDescent="0.35">
      <c r="A468" s="23" t="s">
        <v>317</v>
      </c>
      <c r="B468" s="24">
        <v>45533</v>
      </c>
      <c r="C468" s="23" t="s">
        <v>344</v>
      </c>
      <c r="D468" s="23" t="s">
        <v>381</v>
      </c>
      <c r="E468" s="23" t="s">
        <v>351</v>
      </c>
      <c r="F468" s="23" t="s">
        <v>357</v>
      </c>
      <c r="G468" s="23" t="s">
        <v>362</v>
      </c>
      <c r="H468" s="23">
        <v>7</v>
      </c>
      <c r="I468" s="25">
        <v>1663</v>
      </c>
      <c r="J468" s="25">
        <v>6392</v>
      </c>
      <c r="K468" s="25">
        <v>344241</v>
      </c>
      <c r="L468" s="25">
        <v>97893</v>
      </c>
      <c r="M468" s="23" t="s">
        <v>371</v>
      </c>
      <c r="N468" s="23" t="s">
        <v>415</v>
      </c>
    </row>
    <row r="469" spans="1:14" x14ac:dyDescent="0.35">
      <c r="A469" s="23" t="s">
        <v>318</v>
      </c>
      <c r="B469" s="24">
        <v>45690</v>
      </c>
      <c r="C469" s="23" t="s">
        <v>340</v>
      </c>
      <c r="D469" s="23" t="s">
        <v>348</v>
      </c>
      <c r="E469" s="23" t="s">
        <v>353</v>
      </c>
      <c r="F469" s="23" t="s">
        <v>356</v>
      </c>
      <c r="G469" s="23" t="s">
        <v>362</v>
      </c>
      <c r="H469" s="23">
        <v>245</v>
      </c>
      <c r="I469" s="25">
        <v>757</v>
      </c>
      <c r="J469" s="25">
        <v>582</v>
      </c>
      <c r="K469" s="25">
        <v>1728965</v>
      </c>
      <c r="L469" s="25">
        <v>483875</v>
      </c>
      <c r="M469" s="23" t="s">
        <v>374</v>
      </c>
      <c r="N469" s="23" t="s">
        <v>412</v>
      </c>
    </row>
    <row r="470" spans="1:14" x14ac:dyDescent="0.35">
      <c r="A470" s="23" t="s">
        <v>505</v>
      </c>
      <c r="B470" s="24">
        <v>45375</v>
      </c>
      <c r="C470" s="23" t="s">
        <v>341</v>
      </c>
      <c r="D470" s="23" t="s">
        <v>346</v>
      </c>
      <c r="E470" s="23" t="s">
        <v>353</v>
      </c>
      <c r="F470" s="23" t="s">
        <v>358</v>
      </c>
      <c r="G470" s="23" t="s">
        <v>362</v>
      </c>
      <c r="H470" s="23">
        <v>26</v>
      </c>
      <c r="I470" s="25">
        <v>1156</v>
      </c>
      <c r="J470" s="25">
        <v>7115</v>
      </c>
      <c r="K470" s="25">
        <v>356</v>
      </c>
      <c r="L470" s="25">
        <v>154934</v>
      </c>
      <c r="M470" s="23" t="s">
        <v>364</v>
      </c>
      <c r="N470" s="23" t="s">
        <v>414</v>
      </c>
    </row>
    <row r="471" spans="1:14" x14ac:dyDescent="0.35">
      <c r="A471" s="23" t="s">
        <v>319</v>
      </c>
      <c r="B471" s="24">
        <v>45423</v>
      </c>
      <c r="C471" s="23" t="s">
        <v>345</v>
      </c>
      <c r="D471" s="23" t="s">
        <v>348</v>
      </c>
      <c r="E471" s="23" t="s">
        <v>351</v>
      </c>
      <c r="F471" s="23" t="s">
        <v>358</v>
      </c>
      <c r="G471" s="23" t="s">
        <v>363</v>
      </c>
      <c r="H471" s="23">
        <v>44</v>
      </c>
      <c r="I471" s="25">
        <v>2477</v>
      </c>
      <c r="J471" s="25">
        <v>7729</v>
      </c>
      <c r="K471" s="25">
        <v>2588841</v>
      </c>
      <c r="L471" s="25">
        <v>23188</v>
      </c>
      <c r="M471" s="23" t="s">
        <v>368</v>
      </c>
      <c r="N471" s="23" t="s">
        <v>413</v>
      </c>
    </row>
    <row r="472" spans="1:14" x14ac:dyDescent="0.35">
      <c r="A472" s="23" t="s">
        <v>465</v>
      </c>
      <c r="B472" s="24">
        <v>45696</v>
      </c>
      <c r="C472" s="23" t="s">
        <v>344</v>
      </c>
      <c r="D472" s="23" t="s">
        <v>346</v>
      </c>
      <c r="E472" s="23" t="s">
        <v>351</v>
      </c>
      <c r="F472" s="23" t="s">
        <v>358</v>
      </c>
      <c r="G472" s="23" t="s">
        <v>362</v>
      </c>
      <c r="H472" s="23">
        <v>146</v>
      </c>
      <c r="I472" s="25">
        <v>6574</v>
      </c>
      <c r="J472" s="25">
        <v>6573</v>
      </c>
      <c r="K472" s="25">
        <v>95984</v>
      </c>
      <c r="L472" s="25">
        <v>145</v>
      </c>
      <c r="M472" s="23" t="s">
        <v>374</v>
      </c>
      <c r="N472" s="23" t="s">
        <v>412</v>
      </c>
    </row>
    <row r="473" spans="1:14" x14ac:dyDescent="0.35">
      <c r="A473" s="23" t="s">
        <v>480</v>
      </c>
      <c r="B473" s="24">
        <v>45594</v>
      </c>
      <c r="C473" s="23" t="s">
        <v>343</v>
      </c>
      <c r="D473" s="23" t="s">
        <v>350</v>
      </c>
      <c r="E473" s="23" t="s">
        <v>352</v>
      </c>
      <c r="F473" s="23" t="s">
        <v>361</v>
      </c>
      <c r="G473" s="23" t="s">
        <v>363</v>
      </c>
      <c r="H473" s="23">
        <v>154</v>
      </c>
      <c r="I473" s="25">
        <v>884</v>
      </c>
      <c r="J473" s="25">
        <v>55</v>
      </c>
      <c r="K473" s="25">
        <v>1244936</v>
      </c>
      <c r="L473" s="25">
        <v>1167166</v>
      </c>
      <c r="M473" s="23" t="s">
        <v>369</v>
      </c>
      <c r="N473" s="23" t="s">
        <v>416</v>
      </c>
    </row>
    <row r="474" spans="1:14" x14ac:dyDescent="0.35">
      <c r="A474" s="23" t="s">
        <v>320</v>
      </c>
      <c r="B474" s="24">
        <v>45490</v>
      </c>
      <c r="C474" s="23" t="s">
        <v>342</v>
      </c>
      <c r="D474" s="23" t="s">
        <v>346</v>
      </c>
      <c r="E474" s="23" t="s">
        <v>352</v>
      </c>
      <c r="F474" s="23" t="s">
        <v>359</v>
      </c>
      <c r="G474" s="23" t="s">
        <v>363</v>
      </c>
      <c r="H474" s="23">
        <v>147</v>
      </c>
      <c r="I474" s="25">
        <v>416</v>
      </c>
      <c r="J474" s="25">
        <v>2746</v>
      </c>
      <c r="K474" s="25">
        <v>61152</v>
      </c>
      <c r="L474" s="25">
        <v>2176148</v>
      </c>
      <c r="M474" s="23" t="s">
        <v>372</v>
      </c>
      <c r="N474" s="23" t="s">
        <v>415</v>
      </c>
    </row>
    <row r="475" spans="1:14" x14ac:dyDescent="0.35">
      <c r="A475" s="23" t="s">
        <v>479</v>
      </c>
      <c r="B475" s="24">
        <v>45400</v>
      </c>
      <c r="C475" s="23" t="s">
        <v>343</v>
      </c>
      <c r="D475" s="23" t="s">
        <v>348</v>
      </c>
      <c r="E475" s="23" t="s">
        <v>353</v>
      </c>
      <c r="F475" s="23" t="s">
        <v>360</v>
      </c>
      <c r="G475" s="23" t="s">
        <v>362</v>
      </c>
      <c r="H475" s="23">
        <v>14</v>
      </c>
      <c r="I475" s="25">
        <v>2373</v>
      </c>
      <c r="J475" s="25">
        <v>329</v>
      </c>
      <c r="K475" s="25">
        <v>33222</v>
      </c>
      <c r="L475" s="25">
        <v>12838</v>
      </c>
      <c r="M475" s="23" t="s">
        <v>365</v>
      </c>
      <c r="N475" s="23" t="s">
        <v>413</v>
      </c>
    </row>
    <row r="476" spans="1:14" x14ac:dyDescent="0.35">
      <c r="A476" s="23" t="s">
        <v>491</v>
      </c>
      <c r="B476" s="24">
        <v>45694</v>
      </c>
      <c r="C476" s="23" t="s">
        <v>343</v>
      </c>
      <c r="D476" s="23" t="s">
        <v>350</v>
      </c>
      <c r="E476" s="23" t="s">
        <v>353</v>
      </c>
      <c r="F476" s="23" t="s">
        <v>361</v>
      </c>
      <c r="G476" s="23" t="s">
        <v>362</v>
      </c>
      <c r="H476" s="23">
        <v>222</v>
      </c>
      <c r="I476" s="25">
        <v>358</v>
      </c>
      <c r="J476" s="25">
        <v>9964</v>
      </c>
      <c r="K476" s="25">
        <v>678876</v>
      </c>
      <c r="L476" s="25">
        <v>1533132</v>
      </c>
      <c r="M476" s="23" t="s">
        <v>374</v>
      </c>
      <c r="N476" s="23" t="s">
        <v>412</v>
      </c>
    </row>
    <row r="477" spans="1:14" x14ac:dyDescent="0.35">
      <c r="A477" s="23" t="s">
        <v>321</v>
      </c>
      <c r="B477" s="24">
        <v>45573</v>
      </c>
      <c r="C477" s="23" t="s">
        <v>342</v>
      </c>
      <c r="D477" s="23" t="s">
        <v>348</v>
      </c>
      <c r="E477" s="23" t="s">
        <v>352</v>
      </c>
      <c r="F477" s="23" t="s">
        <v>359</v>
      </c>
      <c r="G477" s="23" t="s">
        <v>362</v>
      </c>
      <c r="H477" s="23">
        <v>18</v>
      </c>
      <c r="I477" s="25">
        <v>7338</v>
      </c>
      <c r="J477" s="25">
        <v>184</v>
      </c>
      <c r="K477" s="25">
        <v>13284</v>
      </c>
      <c r="L477" s="25">
        <v>99612</v>
      </c>
      <c r="M477" s="23" t="s">
        <v>369</v>
      </c>
      <c r="N477" s="23" t="s">
        <v>416</v>
      </c>
    </row>
    <row r="478" spans="1:14" x14ac:dyDescent="0.35">
      <c r="A478" s="23" t="s">
        <v>506</v>
      </c>
      <c r="B478" s="24">
        <v>45390</v>
      </c>
      <c r="C478" s="23" t="s">
        <v>340</v>
      </c>
      <c r="D478" s="23" t="s">
        <v>381</v>
      </c>
      <c r="E478" s="23" t="s">
        <v>354</v>
      </c>
      <c r="F478" s="23" t="s">
        <v>361</v>
      </c>
      <c r="G478" s="23" t="s">
        <v>362</v>
      </c>
      <c r="H478" s="23">
        <v>34</v>
      </c>
      <c r="I478" s="25">
        <v>1338</v>
      </c>
      <c r="J478" s="25">
        <v>8323</v>
      </c>
      <c r="K478" s="25">
        <v>443292</v>
      </c>
      <c r="L478" s="25">
        <v>1631</v>
      </c>
      <c r="M478" s="23" t="s">
        <v>365</v>
      </c>
      <c r="N478" s="23" t="s">
        <v>413</v>
      </c>
    </row>
    <row r="479" spans="1:14" x14ac:dyDescent="0.35">
      <c r="A479" s="23" t="s">
        <v>322</v>
      </c>
      <c r="B479" s="24">
        <v>45547</v>
      </c>
      <c r="C479" s="23" t="s">
        <v>345</v>
      </c>
      <c r="D479" s="23" t="s">
        <v>348</v>
      </c>
      <c r="E479" s="23" t="s">
        <v>353</v>
      </c>
      <c r="F479" s="23" t="s">
        <v>361</v>
      </c>
      <c r="G479" s="23" t="s">
        <v>362</v>
      </c>
      <c r="H479" s="23">
        <v>37</v>
      </c>
      <c r="I479" s="25">
        <v>8788</v>
      </c>
      <c r="J479" s="25">
        <v>6941</v>
      </c>
      <c r="K479" s="25">
        <v>325156</v>
      </c>
      <c r="L479" s="25">
        <v>68339</v>
      </c>
      <c r="M479" s="23" t="s">
        <v>367</v>
      </c>
      <c r="N479" s="23" t="s">
        <v>415</v>
      </c>
    </row>
    <row r="480" spans="1:14" x14ac:dyDescent="0.35">
      <c r="A480" s="23" t="s">
        <v>323</v>
      </c>
      <c r="B480" s="24">
        <v>45645</v>
      </c>
      <c r="C480" s="23" t="s">
        <v>345</v>
      </c>
      <c r="D480" s="23" t="s">
        <v>348</v>
      </c>
      <c r="E480" s="23" t="s">
        <v>353</v>
      </c>
      <c r="F480" s="23" t="s">
        <v>358</v>
      </c>
      <c r="G480" s="23" t="s">
        <v>363</v>
      </c>
      <c r="H480" s="23">
        <v>91</v>
      </c>
      <c r="I480" s="25">
        <v>0</v>
      </c>
      <c r="J480" s="25">
        <v>3399</v>
      </c>
      <c r="K480" s="25">
        <v>28513</v>
      </c>
      <c r="L480" s="25">
        <v>2426</v>
      </c>
      <c r="M480" s="23" t="s">
        <v>375</v>
      </c>
      <c r="N480" s="23" t="s">
        <v>416</v>
      </c>
    </row>
    <row r="481" spans="1:14" x14ac:dyDescent="0.35">
      <c r="A481" s="23" t="s">
        <v>324</v>
      </c>
      <c r="B481" s="24">
        <v>45569</v>
      </c>
      <c r="C481" s="23" t="s">
        <v>342</v>
      </c>
      <c r="D481" s="23" t="s">
        <v>346</v>
      </c>
      <c r="E481" s="23" t="s">
        <v>354</v>
      </c>
      <c r="F481" s="23" t="s">
        <v>360</v>
      </c>
      <c r="G481" s="23" t="s">
        <v>362</v>
      </c>
      <c r="H481" s="23">
        <v>98</v>
      </c>
      <c r="I481" s="25">
        <v>4192</v>
      </c>
      <c r="J481" s="25">
        <v>2882</v>
      </c>
      <c r="K481" s="25">
        <v>41816</v>
      </c>
      <c r="L481" s="25">
        <v>12838</v>
      </c>
      <c r="M481" s="23" t="s">
        <v>369</v>
      </c>
      <c r="N481" s="23" t="s">
        <v>416</v>
      </c>
    </row>
    <row r="482" spans="1:14" x14ac:dyDescent="0.35">
      <c r="A482" s="23" t="s">
        <v>482</v>
      </c>
      <c r="B482" s="24">
        <v>45692</v>
      </c>
      <c r="C482" s="23" t="s">
        <v>344</v>
      </c>
      <c r="D482" s="23" t="s">
        <v>348</v>
      </c>
      <c r="E482" s="23" t="s">
        <v>351</v>
      </c>
      <c r="F482" s="23" t="s">
        <v>359</v>
      </c>
      <c r="G482" s="23" t="s">
        <v>362</v>
      </c>
      <c r="H482" s="23">
        <v>289</v>
      </c>
      <c r="I482" s="25">
        <v>76</v>
      </c>
      <c r="J482" s="25">
        <v>7248</v>
      </c>
      <c r="K482" s="25">
        <v>48979</v>
      </c>
      <c r="L482" s="25">
        <v>543323</v>
      </c>
      <c r="M482" s="23" t="s">
        <v>374</v>
      </c>
      <c r="N482" s="23" t="s">
        <v>412</v>
      </c>
    </row>
    <row r="483" spans="1:14" x14ac:dyDescent="0.35">
      <c r="A483" s="23" t="s">
        <v>325</v>
      </c>
      <c r="B483" s="24">
        <v>45484</v>
      </c>
      <c r="C483" s="23" t="s">
        <v>345</v>
      </c>
      <c r="D483" s="23" t="s">
        <v>346</v>
      </c>
      <c r="E483" s="23" t="s">
        <v>354</v>
      </c>
      <c r="F483" s="23" t="s">
        <v>357</v>
      </c>
      <c r="G483" s="23" t="s">
        <v>363</v>
      </c>
      <c r="H483" s="23">
        <v>143</v>
      </c>
      <c r="I483" s="25">
        <v>0</v>
      </c>
      <c r="J483" s="25">
        <v>8133</v>
      </c>
      <c r="K483" s="25">
        <v>176218</v>
      </c>
      <c r="L483" s="25">
        <v>8681</v>
      </c>
      <c r="M483" s="23" t="s">
        <v>372</v>
      </c>
      <c r="N483" s="23" t="s">
        <v>415</v>
      </c>
    </row>
    <row r="484" spans="1:14" x14ac:dyDescent="0.35">
      <c r="A484" s="23" t="s">
        <v>482</v>
      </c>
      <c r="B484" s="24">
        <v>45332</v>
      </c>
      <c r="C484" s="23" t="s">
        <v>341</v>
      </c>
      <c r="D484" s="23" t="s">
        <v>348</v>
      </c>
      <c r="E484" s="23" t="s">
        <v>353</v>
      </c>
      <c r="F484" s="23" t="s">
        <v>381</v>
      </c>
      <c r="G484" s="23" t="s">
        <v>362</v>
      </c>
      <c r="H484" s="23">
        <v>264</v>
      </c>
      <c r="I484" s="25">
        <v>14563</v>
      </c>
      <c r="J484" s="25">
        <v>9381</v>
      </c>
      <c r="K484" s="25">
        <v>3844632</v>
      </c>
      <c r="L484" s="25">
        <v>136848</v>
      </c>
      <c r="M484" s="23" t="s">
        <v>374</v>
      </c>
      <c r="N484" s="23" t="s">
        <v>414</v>
      </c>
    </row>
    <row r="485" spans="1:14" x14ac:dyDescent="0.35">
      <c r="A485" s="23" t="s">
        <v>326</v>
      </c>
      <c r="B485" s="24">
        <v>45606</v>
      </c>
      <c r="C485" s="23" t="s">
        <v>338</v>
      </c>
      <c r="D485" s="23" t="s">
        <v>346</v>
      </c>
      <c r="E485" s="23" t="s">
        <v>354</v>
      </c>
      <c r="F485" s="23" t="s">
        <v>360</v>
      </c>
      <c r="G485" s="23" t="s">
        <v>362</v>
      </c>
      <c r="H485" s="23">
        <v>172</v>
      </c>
      <c r="I485" s="25">
        <v>13544</v>
      </c>
      <c r="J485" s="25">
        <v>6337</v>
      </c>
      <c r="K485" s="25">
        <v>2329568</v>
      </c>
      <c r="L485" s="25">
        <v>123964</v>
      </c>
      <c r="M485" s="23" t="s">
        <v>373</v>
      </c>
      <c r="N485" s="23" t="s">
        <v>416</v>
      </c>
    </row>
    <row r="486" spans="1:14" x14ac:dyDescent="0.35">
      <c r="A486" s="23" t="s">
        <v>327</v>
      </c>
      <c r="B486" s="24">
        <v>45557</v>
      </c>
      <c r="C486" s="23" t="s">
        <v>339</v>
      </c>
      <c r="D486" s="23" t="s">
        <v>348</v>
      </c>
      <c r="E486" s="23" t="s">
        <v>352</v>
      </c>
      <c r="F486" s="23" t="s">
        <v>355</v>
      </c>
      <c r="G486" s="23" t="s">
        <v>362</v>
      </c>
      <c r="H486" s="23">
        <v>283</v>
      </c>
      <c r="I486" s="25">
        <v>4685</v>
      </c>
      <c r="J486" s="25">
        <v>974</v>
      </c>
      <c r="K486" s="25">
        <v>1325855</v>
      </c>
      <c r="L486" s="25">
        <v>143565</v>
      </c>
      <c r="M486" s="23" t="s">
        <v>367</v>
      </c>
      <c r="N486" s="23" t="s">
        <v>415</v>
      </c>
    </row>
    <row r="487" spans="1:14" x14ac:dyDescent="0.35">
      <c r="A487" s="23" t="s">
        <v>328</v>
      </c>
      <c r="B487" s="24">
        <v>45445</v>
      </c>
      <c r="C487" s="23" t="s">
        <v>345</v>
      </c>
      <c r="D487" s="23" t="s">
        <v>346</v>
      </c>
      <c r="E487" s="23" t="s">
        <v>351</v>
      </c>
      <c r="F487" s="23" t="s">
        <v>356</v>
      </c>
      <c r="G487" s="23" t="s">
        <v>362</v>
      </c>
      <c r="H487" s="23">
        <v>171</v>
      </c>
      <c r="I487" s="25">
        <v>9684</v>
      </c>
      <c r="J487" s="25">
        <v>9458</v>
      </c>
      <c r="K487" s="25">
        <v>1655964</v>
      </c>
      <c r="L487" s="25">
        <v>38645</v>
      </c>
      <c r="M487" s="23" t="s">
        <v>370</v>
      </c>
      <c r="N487" s="23" t="s">
        <v>413</v>
      </c>
    </row>
    <row r="488" spans="1:14" x14ac:dyDescent="0.35">
      <c r="A488" s="23" t="s">
        <v>507</v>
      </c>
      <c r="B488" s="24">
        <v>45349</v>
      </c>
      <c r="C488" s="23" t="s">
        <v>340</v>
      </c>
      <c r="D488" s="23" t="s">
        <v>346</v>
      </c>
      <c r="E488" s="23" t="s">
        <v>353</v>
      </c>
      <c r="F488" s="23" t="s">
        <v>361</v>
      </c>
      <c r="G488" s="23" t="s">
        <v>362</v>
      </c>
      <c r="H488" s="23">
        <v>269</v>
      </c>
      <c r="I488" s="25">
        <v>0</v>
      </c>
      <c r="J488" s="25">
        <v>2615</v>
      </c>
      <c r="K488" s="25">
        <v>3841589</v>
      </c>
      <c r="L488" s="25">
        <v>3138154</v>
      </c>
      <c r="M488" s="23" t="s">
        <v>374</v>
      </c>
      <c r="N488" s="23" t="s">
        <v>414</v>
      </c>
    </row>
    <row r="489" spans="1:14" x14ac:dyDescent="0.35">
      <c r="A489" s="23" t="s">
        <v>329</v>
      </c>
      <c r="B489" s="24">
        <v>45405</v>
      </c>
      <c r="C489" s="23" t="s">
        <v>342</v>
      </c>
      <c r="D489" s="23" t="s">
        <v>348</v>
      </c>
      <c r="E489" s="23" t="s">
        <v>354</v>
      </c>
      <c r="F489" s="23" t="s">
        <v>361</v>
      </c>
      <c r="G489" s="23" t="s">
        <v>362</v>
      </c>
      <c r="H489" s="23">
        <v>0</v>
      </c>
      <c r="I489" s="25">
        <v>9463</v>
      </c>
      <c r="J489" s="25">
        <v>8883</v>
      </c>
      <c r="K489" s="25">
        <v>227112</v>
      </c>
      <c r="L489" s="25">
        <v>1391.9999999999959</v>
      </c>
      <c r="M489" s="23" t="s">
        <v>365</v>
      </c>
      <c r="N489" s="23" t="s">
        <v>413</v>
      </c>
    </row>
    <row r="490" spans="1:14" x14ac:dyDescent="0.35">
      <c r="A490" s="23" t="s">
        <v>330</v>
      </c>
      <c r="B490" s="24">
        <v>45615</v>
      </c>
      <c r="C490" s="23" t="s">
        <v>341</v>
      </c>
      <c r="D490" s="23" t="s">
        <v>346</v>
      </c>
      <c r="E490" s="23" t="s">
        <v>352</v>
      </c>
      <c r="F490" s="23" t="s">
        <v>356</v>
      </c>
      <c r="G490" s="23" t="s">
        <v>362</v>
      </c>
      <c r="H490" s="23">
        <v>152</v>
      </c>
      <c r="I490" s="25">
        <v>2519</v>
      </c>
      <c r="J490" s="25">
        <v>6919</v>
      </c>
      <c r="K490" s="25">
        <v>382888</v>
      </c>
      <c r="L490" s="25">
        <v>6688</v>
      </c>
      <c r="M490" s="23" t="s">
        <v>373</v>
      </c>
      <c r="N490" s="23" t="s">
        <v>416</v>
      </c>
    </row>
    <row r="491" spans="1:14" x14ac:dyDescent="0.35">
      <c r="A491" s="23" t="s">
        <v>508</v>
      </c>
      <c r="B491" s="24">
        <v>45373</v>
      </c>
      <c r="C491" s="23" t="s">
        <v>342</v>
      </c>
      <c r="D491" s="23" t="s">
        <v>348</v>
      </c>
      <c r="E491" s="23" t="s">
        <v>354</v>
      </c>
      <c r="F491" s="23" t="s">
        <v>356</v>
      </c>
      <c r="G491" s="23" t="s">
        <v>363</v>
      </c>
      <c r="H491" s="23">
        <v>162</v>
      </c>
      <c r="I491" s="25">
        <v>1425</v>
      </c>
      <c r="J491" s="25">
        <v>9452</v>
      </c>
      <c r="K491" s="25">
        <v>22725</v>
      </c>
      <c r="L491" s="25">
        <v>74826</v>
      </c>
      <c r="M491" s="23" t="s">
        <v>364</v>
      </c>
      <c r="N491" s="23" t="s">
        <v>414</v>
      </c>
    </row>
    <row r="492" spans="1:14" x14ac:dyDescent="0.35">
      <c r="A492" s="23" t="s">
        <v>469</v>
      </c>
      <c r="B492" s="24">
        <v>45382</v>
      </c>
      <c r="C492" s="23" t="s">
        <v>342</v>
      </c>
      <c r="D492" s="23" t="s">
        <v>348</v>
      </c>
      <c r="E492" s="23" t="s">
        <v>352</v>
      </c>
      <c r="F492" s="23" t="s">
        <v>360</v>
      </c>
      <c r="G492" s="23" t="s">
        <v>363</v>
      </c>
      <c r="H492" s="23">
        <v>32</v>
      </c>
      <c r="I492" s="25">
        <v>623</v>
      </c>
      <c r="J492" s="25">
        <v>3114</v>
      </c>
      <c r="K492" s="25">
        <v>192736</v>
      </c>
      <c r="L492" s="25">
        <v>9388</v>
      </c>
      <c r="M492" s="23" t="s">
        <v>364</v>
      </c>
      <c r="N492" s="23" t="s">
        <v>414</v>
      </c>
    </row>
    <row r="493" spans="1:14" x14ac:dyDescent="0.35">
      <c r="A493" s="23" t="s">
        <v>331</v>
      </c>
      <c r="B493" s="24">
        <v>45407</v>
      </c>
      <c r="C493" s="23" t="s">
        <v>345</v>
      </c>
      <c r="D493" s="23" t="s">
        <v>346</v>
      </c>
      <c r="E493" s="23" t="s">
        <v>351</v>
      </c>
      <c r="F493" s="23" t="s">
        <v>359</v>
      </c>
      <c r="G493" s="23" t="s">
        <v>362</v>
      </c>
      <c r="H493" s="23">
        <v>95</v>
      </c>
      <c r="I493" s="25">
        <v>2147</v>
      </c>
      <c r="J493" s="25">
        <v>2483</v>
      </c>
      <c r="K493" s="25">
        <v>754259</v>
      </c>
      <c r="L493" s="25">
        <v>3192</v>
      </c>
      <c r="M493" s="23" t="s">
        <v>365</v>
      </c>
      <c r="N493" s="23" t="s">
        <v>413</v>
      </c>
    </row>
    <row r="494" spans="1:14" x14ac:dyDescent="0.35">
      <c r="A494" s="23" t="s">
        <v>332</v>
      </c>
      <c r="B494" s="24">
        <v>45565</v>
      </c>
      <c r="C494" s="23" t="s">
        <v>338</v>
      </c>
      <c r="D494" s="23" t="s">
        <v>348</v>
      </c>
      <c r="E494" s="23" t="s">
        <v>354</v>
      </c>
      <c r="F494" s="23" t="s">
        <v>355</v>
      </c>
      <c r="G494" s="23" t="s">
        <v>362</v>
      </c>
      <c r="H494" s="23">
        <v>219</v>
      </c>
      <c r="I494" s="25">
        <v>1419</v>
      </c>
      <c r="J494" s="25">
        <v>4989</v>
      </c>
      <c r="K494" s="25">
        <v>31761</v>
      </c>
      <c r="L494" s="25">
        <v>78183</v>
      </c>
      <c r="M494" s="23" t="s">
        <v>367</v>
      </c>
      <c r="N494" s="23" t="s">
        <v>415</v>
      </c>
    </row>
    <row r="495" spans="1:14" x14ac:dyDescent="0.35">
      <c r="A495" s="23" t="s">
        <v>428</v>
      </c>
      <c r="B495" s="24">
        <v>45308</v>
      </c>
      <c r="C495" s="23" t="s">
        <v>339</v>
      </c>
      <c r="D495" s="23" t="s">
        <v>350</v>
      </c>
      <c r="E495" s="23" t="s">
        <v>352</v>
      </c>
      <c r="F495" s="23" t="s">
        <v>359</v>
      </c>
      <c r="G495" s="23" t="s">
        <v>362</v>
      </c>
      <c r="H495" s="23">
        <v>191</v>
      </c>
      <c r="I495" s="25">
        <v>11424</v>
      </c>
      <c r="J495" s="25">
        <v>92</v>
      </c>
      <c r="K495" s="25">
        <v>2181984</v>
      </c>
      <c r="L495" s="25">
        <v>459164</v>
      </c>
      <c r="M495" s="23" t="s">
        <v>366</v>
      </c>
      <c r="N495" s="23" t="s">
        <v>414</v>
      </c>
    </row>
    <row r="496" spans="1:14" x14ac:dyDescent="0.35">
      <c r="A496" s="23" t="s">
        <v>333</v>
      </c>
      <c r="B496" s="24">
        <v>45650</v>
      </c>
      <c r="C496" s="23" t="s">
        <v>345</v>
      </c>
      <c r="D496" s="23" t="s">
        <v>381</v>
      </c>
      <c r="E496" s="23" t="s">
        <v>354</v>
      </c>
      <c r="F496" s="23" t="s">
        <v>360</v>
      </c>
      <c r="G496" s="23" t="s">
        <v>362</v>
      </c>
      <c r="H496" s="23">
        <v>126</v>
      </c>
      <c r="I496" s="25">
        <v>14236</v>
      </c>
      <c r="J496" s="25">
        <v>97</v>
      </c>
      <c r="K496" s="25">
        <v>1793736</v>
      </c>
      <c r="L496" s="25">
        <v>1671516</v>
      </c>
      <c r="M496" s="23" t="s">
        <v>375</v>
      </c>
      <c r="N496" s="23" t="s">
        <v>416</v>
      </c>
    </row>
    <row r="497" spans="1:14" x14ac:dyDescent="0.35">
      <c r="A497" s="23" t="s">
        <v>426</v>
      </c>
      <c r="B497" s="24">
        <v>45695</v>
      </c>
      <c r="C497" s="23" t="s">
        <v>341</v>
      </c>
      <c r="D497" s="23" t="s">
        <v>348</v>
      </c>
      <c r="E497" s="23" t="s">
        <v>353</v>
      </c>
      <c r="F497" s="23" t="s">
        <v>360</v>
      </c>
      <c r="G497" s="23" t="s">
        <v>362</v>
      </c>
      <c r="H497" s="23">
        <v>249</v>
      </c>
      <c r="I497" s="25">
        <v>7726</v>
      </c>
      <c r="J497" s="25">
        <v>9753</v>
      </c>
      <c r="K497" s="25">
        <v>1923774</v>
      </c>
      <c r="L497" s="25">
        <v>1031201</v>
      </c>
      <c r="M497" s="23" t="s">
        <v>374</v>
      </c>
      <c r="N497" s="23" t="s">
        <v>412</v>
      </c>
    </row>
    <row r="498" spans="1:14" x14ac:dyDescent="0.35">
      <c r="A498" s="23" t="s">
        <v>334</v>
      </c>
      <c r="B498" s="24">
        <v>45618</v>
      </c>
      <c r="C498" s="23" t="s">
        <v>339</v>
      </c>
      <c r="D498" s="23" t="s">
        <v>348</v>
      </c>
      <c r="E498" s="23" t="s">
        <v>351</v>
      </c>
      <c r="F498" s="23" t="s">
        <v>356</v>
      </c>
      <c r="G498" s="23" t="s">
        <v>363</v>
      </c>
      <c r="H498" s="23">
        <v>189</v>
      </c>
      <c r="I498" s="25">
        <v>8235</v>
      </c>
      <c r="J498" s="25">
        <v>518</v>
      </c>
      <c r="K498" s="25">
        <v>1556415</v>
      </c>
      <c r="L498" s="25">
        <v>6813</v>
      </c>
      <c r="M498" s="23" t="s">
        <v>373</v>
      </c>
      <c r="N498" s="23" t="s">
        <v>416</v>
      </c>
    </row>
    <row r="499" spans="1:14" x14ac:dyDescent="0.35">
      <c r="A499" s="23" t="s">
        <v>335</v>
      </c>
      <c r="B499" s="24">
        <v>45420</v>
      </c>
      <c r="C499" s="23" t="s">
        <v>345</v>
      </c>
      <c r="D499" s="23" t="s">
        <v>350</v>
      </c>
      <c r="E499" s="23" t="s">
        <v>351</v>
      </c>
      <c r="F499" s="23" t="s">
        <v>360</v>
      </c>
      <c r="G499" s="23" t="s">
        <v>362</v>
      </c>
      <c r="H499" s="23">
        <v>283</v>
      </c>
      <c r="I499" s="25">
        <v>9494</v>
      </c>
      <c r="J499" s="25">
        <v>635</v>
      </c>
      <c r="K499" s="25">
        <v>268682</v>
      </c>
      <c r="L499" s="25">
        <v>889752</v>
      </c>
      <c r="M499" s="23" t="s">
        <v>368</v>
      </c>
      <c r="N499" s="23" t="s">
        <v>413</v>
      </c>
    </row>
    <row r="500" spans="1:14" x14ac:dyDescent="0.35">
      <c r="A500" s="23" t="s">
        <v>336</v>
      </c>
      <c r="B500" s="24">
        <v>45790</v>
      </c>
      <c r="C500" s="23" t="s">
        <v>340</v>
      </c>
      <c r="D500" s="23" t="s">
        <v>348</v>
      </c>
      <c r="E500" s="23" t="s">
        <v>352</v>
      </c>
      <c r="F500" s="23" t="s">
        <v>361</v>
      </c>
      <c r="G500" s="23" t="s">
        <v>362</v>
      </c>
      <c r="H500" s="23">
        <v>75</v>
      </c>
      <c r="I500" s="25">
        <v>4239</v>
      </c>
      <c r="J500" s="25">
        <v>876</v>
      </c>
      <c r="K500" s="25">
        <v>317925</v>
      </c>
      <c r="L500" s="25">
        <v>33525</v>
      </c>
      <c r="M500" s="23" t="s">
        <v>368</v>
      </c>
      <c r="N500" s="23" t="s">
        <v>417</v>
      </c>
    </row>
    <row r="501" spans="1:14" x14ac:dyDescent="0.35">
      <c r="A501" s="23" t="s">
        <v>337</v>
      </c>
      <c r="B501" s="24">
        <v>45538</v>
      </c>
      <c r="C501" s="23" t="s">
        <v>339</v>
      </c>
      <c r="D501" s="23" t="s">
        <v>348</v>
      </c>
      <c r="E501" s="23" t="s">
        <v>352</v>
      </c>
      <c r="F501" s="23" t="s">
        <v>358</v>
      </c>
      <c r="G501" s="23" t="s">
        <v>362</v>
      </c>
      <c r="H501" s="23">
        <v>276</v>
      </c>
      <c r="I501" s="25">
        <v>6269</v>
      </c>
      <c r="J501" s="25">
        <v>1248</v>
      </c>
      <c r="K501" s="25">
        <v>173244</v>
      </c>
      <c r="L501" s="25">
        <v>1385796</v>
      </c>
      <c r="M501" s="23" t="s">
        <v>367</v>
      </c>
      <c r="N501" s="23" t="s">
        <v>415</v>
      </c>
    </row>
    <row r="502" spans="1:14" x14ac:dyDescent="0.35">
      <c r="A502" s="2"/>
      <c r="B502" s="3"/>
      <c r="C502" s="2"/>
      <c r="D502" s="2"/>
      <c r="E502" s="2"/>
      <c r="F502" s="2"/>
      <c r="G502" s="2"/>
      <c r="H502" s="2"/>
      <c r="I502" s="4"/>
      <c r="J502" s="4"/>
      <c r="K502" s="4"/>
      <c r="L502" s="4"/>
      <c r="M502" s="2"/>
      <c r="N502" s="2"/>
    </row>
    <row r="503" spans="1:14" x14ac:dyDescent="0.35">
      <c r="A503" s="2"/>
      <c r="B503" s="3"/>
      <c r="C503" s="2"/>
      <c r="D503" s="2"/>
      <c r="E503" s="2"/>
      <c r="F503" s="2"/>
      <c r="G503" s="2"/>
      <c r="H503" s="2"/>
      <c r="I503" s="4"/>
      <c r="J503" s="4"/>
      <c r="K503" s="4"/>
      <c r="L503" s="4"/>
      <c r="M503" s="2"/>
      <c r="N503" s="2"/>
    </row>
    <row r="504" spans="1:14" x14ac:dyDescent="0.35">
      <c r="A504" s="2"/>
      <c r="B504" s="3"/>
      <c r="C504" s="2"/>
      <c r="D504" s="2"/>
      <c r="E504" s="2"/>
      <c r="F504" s="2"/>
      <c r="G504" s="2"/>
      <c r="H504" s="2"/>
      <c r="I504" s="4"/>
      <c r="J504" s="4"/>
      <c r="K504" s="4"/>
      <c r="L504" s="4"/>
      <c r="M504" s="2"/>
      <c r="N504" s="2"/>
    </row>
    <row r="505" spans="1:14" x14ac:dyDescent="0.35">
      <c r="A505" s="2"/>
      <c r="B505" s="3"/>
      <c r="C505" s="2"/>
      <c r="D505" s="2"/>
      <c r="E505" s="2"/>
      <c r="F505" s="2"/>
      <c r="G505" s="2"/>
      <c r="H505" s="2"/>
      <c r="I505" s="4"/>
      <c r="J505" s="4"/>
      <c r="K505" s="4"/>
      <c r="L505" s="4"/>
      <c r="M505" s="2"/>
      <c r="N505" s="2"/>
    </row>
    <row r="506" spans="1:14" x14ac:dyDescent="0.35">
      <c r="A506" s="2"/>
      <c r="B506" s="3"/>
      <c r="C506" s="2"/>
      <c r="D506" s="2"/>
      <c r="E506" s="2"/>
      <c r="F506" s="2"/>
      <c r="G506" s="2"/>
      <c r="H506" s="2"/>
      <c r="I506" s="4"/>
      <c r="J506" s="4"/>
      <c r="K506" s="4"/>
      <c r="L506" s="4"/>
      <c r="M506" s="2"/>
      <c r="N506" s="2"/>
    </row>
    <row r="507" spans="1:14" x14ac:dyDescent="0.35">
      <c r="A507" s="2"/>
      <c r="B507" s="3"/>
      <c r="C507" s="2"/>
      <c r="D507" s="2"/>
      <c r="E507" s="2"/>
      <c r="F507" s="2"/>
      <c r="G507" s="2"/>
      <c r="H507" s="2"/>
      <c r="I507" s="4"/>
      <c r="J507" s="4"/>
      <c r="K507" s="4"/>
      <c r="L507" s="4"/>
      <c r="M507" s="2"/>
      <c r="N507" s="2"/>
    </row>
    <row r="508" spans="1:14" x14ac:dyDescent="0.35">
      <c r="A508" s="2"/>
      <c r="B508" s="3"/>
      <c r="C508" s="2"/>
      <c r="D508" s="2"/>
      <c r="E508" s="2"/>
      <c r="F508" s="2"/>
      <c r="G508" s="2"/>
      <c r="H508" s="2"/>
      <c r="I508" s="4"/>
      <c r="J508" s="4"/>
      <c r="K508" s="4"/>
      <c r="L508" s="4"/>
      <c r="M508" s="2"/>
      <c r="N508" s="2"/>
    </row>
    <row r="509" spans="1:14" x14ac:dyDescent="0.35">
      <c r="A509" s="2"/>
      <c r="B509" s="3"/>
      <c r="C509" s="2"/>
      <c r="D509" s="2"/>
      <c r="E509" s="2"/>
      <c r="F509" s="2"/>
      <c r="G509" s="2"/>
      <c r="H509" s="2"/>
      <c r="I509" s="4"/>
      <c r="J509" s="4"/>
      <c r="K509" s="4"/>
      <c r="L509" s="4"/>
      <c r="M509" s="2"/>
      <c r="N509" s="2"/>
    </row>
    <row r="510" spans="1:14" x14ac:dyDescent="0.35">
      <c r="A510" s="2"/>
      <c r="B510" s="3"/>
      <c r="C510" s="2"/>
      <c r="D510" s="2"/>
      <c r="E510" s="2"/>
      <c r="F510" s="2"/>
      <c r="G510" s="2"/>
      <c r="H510" s="2"/>
      <c r="I510" s="4"/>
      <c r="J510" s="4"/>
      <c r="K510" s="4"/>
      <c r="L510" s="4"/>
      <c r="M510" s="2"/>
      <c r="N510" s="2"/>
    </row>
    <row r="511" spans="1:14" x14ac:dyDescent="0.35">
      <c r="A511" s="2"/>
      <c r="B511" s="3"/>
      <c r="C511" s="2"/>
      <c r="D511" s="2"/>
      <c r="E511" s="2"/>
      <c r="F511" s="2"/>
      <c r="G511" s="2"/>
      <c r="H511" s="2"/>
      <c r="I511" s="4"/>
      <c r="J511" s="4"/>
      <c r="K511" s="4"/>
      <c r="L511" s="4"/>
      <c r="M511" s="2"/>
      <c r="N511" s="2"/>
    </row>
    <row r="512" spans="1:14" x14ac:dyDescent="0.35">
      <c r="A512" s="2"/>
      <c r="B512" s="3"/>
      <c r="C512" s="2"/>
      <c r="D512" s="2"/>
      <c r="E512" s="2"/>
      <c r="F512" s="2"/>
      <c r="G512" s="2"/>
      <c r="H512" s="2"/>
      <c r="I512" s="4"/>
      <c r="J512" s="4"/>
      <c r="K512" s="4"/>
      <c r="L512" s="4"/>
      <c r="M512" s="2"/>
      <c r="N512" s="2"/>
    </row>
    <row r="513" spans="1:14" x14ac:dyDescent="0.35">
      <c r="A513" s="2"/>
      <c r="B513" s="3"/>
      <c r="C513" s="2"/>
      <c r="D513" s="2"/>
      <c r="E513" s="2"/>
      <c r="F513" s="2"/>
      <c r="G513" s="2"/>
      <c r="H513" s="2"/>
      <c r="I513" s="4"/>
      <c r="J513" s="4"/>
      <c r="K513" s="4"/>
      <c r="L513" s="4"/>
      <c r="M513" s="2"/>
      <c r="N513" s="2"/>
    </row>
    <row r="514" spans="1:14" x14ac:dyDescent="0.35">
      <c r="A514" s="2"/>
      <c r="B514" s="3"/>
      <c r="C514" s="2"/>
      <c r="D514" s="2"/>
      <c r="E514" s="2"/>
      <c r="F514" s="2"/>
      <c r="G514" s="2"/>
      <c r="H514" s="2"/>
      <c r="I514" s="4"/>
      <c r="J514" s="4"/>
      <c r="K514" s="4"/>
      <c r="L514" s="4"/>
      <c r="M514" s="2"/>
      <c r="N514" s="2"/>
    </row>
    <row r="515" spans="1:14" x14ac:dyDescent="0.35">
      <c r="A515" s="2"/>
      <c r="B515" s="3"/>
      <c r="C515" s="2"/>
      <c r="D515" s="2"/>
      <c r="E515" s="2"/>
      <c r="F515" s="2"/>
      <c r="G515" s="2"/>
      <c r="H515" s="2"/>
      <c r="I515" s="4"/>
      <c r="J515" s="4"/>
      <c r="K515" s="4"/>
      <c r="L515" s="4"/>
      <c r="M515" s="2"/>
      <c r="N515" s="2"/>
    </row>
    <row r="516" spans="1:14" x14ac:dyDescent="0.35">
      <c r="A516" s="2"/>
      <c r="B516" s="3"/>
      <c r="C516" s="2"/>
      <c r="D516" s="2"/>
      <c r="E516" s="2"/>
      <c r="F516" s="2"/>
      <c r="G516" s="2"/>
      <c r="H516" s="2"/>
      <c r="I516" s="4"/>
      <c r="J516" s="4"/>
      <c r="K516" s="4"/>
      <c r="L516" s="4"/>
      <c r="M516" s="2"/>
      <c r="N516" s="2"/>
    </row>
    <row r="517" spans="1:14" x14ac:dyDescent="0.35">
      <c r="A517" s="2"/>
      <c r="B517" s="3"/>
      <c r="C517" s="2"/>
      <c r="D517" s="2"/>
      <c r="E517" s="2"/>
      <c r="F517" s="2"/>
      <c r="G517" s="2"/>
      <c r="H517" s="2"/>
      <c r="I517" s="4"/>
      <c r="J517" s="4"/>
      <c r="K517" s="4"/>
      <c r="L517" s="4"/>
      <c r="M517" s="2"/>
      <c r="N517" s="2"/>
    </row>
    <row r="518" spans="1:14" x14ac:dyDescent="0.35">
      <c r="A518" s="2"/>
      <c r="B518" s="3"/>
      <c r="C518" s="2"/>
      <c r="D518" s="2"/>
      <c r="E518" s="2"/>
      <c r="F518" s="2"/>
      <c r="G518" s="2"/>
      <c r="H518" s="2"/>
      <c r="I518" s="4"/>
      <c r="J518" s="4"/>
      <c r="K518" s="4"/>
      <c r="L518" s="4"/>
      <c r="M518" s="2"/>
      <c r="N518" s="2"/>
    </row>
    <row r="519" spans="1:14" x14ac:dyDescent="0.35">
      <c r="A519" s="2"/>
      <c r="B519" s="3"/>
      <c r="C519" s="2"/>
      <c r="D519" s="2"/>
      <c r="E519" s="2"/>
      <c r="F519" s="2"/>
      <c r="G519" s="2"/>
      <c r="H519" s="2"/>
      <c r="I519" s="4"/>
      <c r="J519" s="4"/>
      <c r="K519" s="4"/>
      <c r="L519" s="4"/>
      <c r="M519" s="2"/>
      <c r="N519" s="2"/>
    </row>
    <row r="520" spans="1:14" x14ac:dyDescent="0.35">
      <c r="A520" s="2"/>
      <c r="B520" s="3"/>
      <c r="C520" s="2"/>
      <c r="D520" s="2"/>
      <c r="E520" s="2"/>
      <c r="F520" s="2"/>
      <c r="G520" s="2"/>
      <c r="H520" s="2"/>
      <c r="I520" s="4"/>
      <c r="J520" s="4"/>
      <c r="K520" s="4"/>
      <c r="L520" s="4"/>
      <c r="M520" s="2"/>
      <c r="N520" s="2"/>
    </row>
    <row r="521" spans="1:14" x14ac:dyDescent="0.35">
      <c r="A521" s="2"/>
      <c r="B521" s="3"/>
      <c r="C521" s="2"/>
      <c r="D521" s="2"/>
      <c r="E521" s="2"/>
      <c r="F521" s="2"/>
      <c r="G521" s="2"/>
      <c r="H521" s="2"/>
      <c r="I521" s="4"/>
      <c r="J521" s="4"/>
      <c r="K521" s="4"/>
      <c r="L521" s="4"/>
      <c r="M521" s="2"/>
      <c r="N521" s="2"/>
    </row>
    <row r="522" spans="1:14" x14ac:dyDescent="0.35">
      <c r="A522" s="2"/>
      <c r="B522" s="3"/>
      <c r="C522" s="2"/>
      <c r="D522" s="2"/>
      <c r="E522" s="2"/>
      <c r="F522" s="2"/>
      <c r="G522" s="2"/>
      <c r="H522" s="2"/>
      <c r="I522" s="4"/>
      <c r="J522" s="4"/>
      <c r="K522" s="4"/>
      <c r="L522" s="4"/>
      <c r="M522" s="2"/>
      <c r="N522" s="2"/>
    </row>
    <row r="523" spans="1:14" x14ac:dyDescent="0.35">
      <c r="A523" s="2"/>
      <c r="B523" s="3"/>
      <c r="C523" s="2"/>
      <c r="D523" s="2"/>
      <c r="E523" s="2"/>
      <c r="F523" s="2"/>
      <c r="G523" s="2"/>
      <c r="H523" s="2"/>
      <c r="I523" s="4"/>
      <c r="J523" s="4"/>
      <c r="K523" s="4"/>
      <c r="L523" s="4"/>
      <c r="M523" s="2"/>
      <c r="N523" s="2"/>
    </row>
    <row r="524" spans="1:14" x14ac:dyDescent="0.35">
      <c r="A524" s="2"/>
      <c r="B524" s="3"/>
      <c r="C524" s="2"/>
      <c r="D524" s="2"/>
      <c r="E524" s="2"/>
      <c r="F524" s="2"/>
      <c r="G524" s="2"/>
      <c r="H524" s="2"/>
      <c r="I524" s="4"/>
      <c r="J524" s="4"/>
      <c r="K524" s="4"/>
      <c r="L524" s="4"/>
      <c r="M524" s="2"/>
      <c r="N524" s="2"/>
    </row>
    <row r="525" spans="1:14" x14ac:dyDescent="0.35">
      <c r="A525" s="2"/>
      <c r="B525" s="3"/>
      <c r="C525" s="2"/>
      <c r="D525" s="2"/>
      <c r="E525" s="2"/>
      <c r="F525" s="2"/>
      <c r="G525" s="2"/>
      <c r="H525" s="2"/>
      <c r="I525" s="4"/>
      <c r="J525" s="4"/>
      <c r="K525" s="4"/>
      <c r="L525" s="4"/>
      <c r="M525" s="2"/>
      <c r="N525" s="2"/>
    </row>
    <row r="526" spans="1:14" x14ac:dyDescent="0.35">
      <c r="A526" s="2"/>
      <c r="B526" s="3"/>
      <c r="C526" s="2"/>
      <c r="D526" s="2"/>
      <c r="E526" s="2"/>
      <c r="F526" s="2"/>
      <c r="G526" s="2"/>
      <c r="H526" s="2"/>
      <c r="I526" s="4"/>
      <c r="J526" s="4"/>
      <c r="K526" s="4"/>
      <c r="L526" s="4"/>
      <c r="M526" s="2"/>
      <c r="N526" s="2"/>
    </row>
    <row r="527" spans="1:14" x14ac:dyDescent="0.35">
      <c r="A527" s="2"/>
      <c r="B527" s="3"/>
      <c r="C527" s="2"/>
      <c r="D527" s="2"/>
      <c r="E527" s="2"/>
      <c r="F527" s="2"/>
      <c r="G527" s="2"/>
      <c r="H527" s="2"/>
      <c r="I527" s="4"/>
      <c r="J527" s="4"/>
      <c r="K527" s="4"/>
      <c r="L527" s="4"/>
      <c r="M527" s="2"/>
      <c r="N527" s="2"/>
    </row>
    <row r="528" spans="1:14" x14ac:dyDescent="0.35">
      <c r="A528" s="2"/>
      <c r="B528" s="3"/>
      <c r="C528" s="2"/>
      <c r="D528" s="2"/>
      <c r="E528" s="2"/>
      <c r="F528" s="2"/>
      <c r="G528" s="2"/>
      <c r="H528" s="2"/>
      <c r="I528" s="4"/>
      <c r="J528" s="4"/>
      <c r="K528" s="4"/>
      <c r="L528" s="4"/>
      <c r="M528" s="2"/>
      <c r="N528" s="2"/>
    </row>
    <row r="529" spans="1:14" x14ac:dyDescent="0.35">
      <c r="A529" s="2"/>
      <c r="B529" s="3"/>
      <c r="C529" s="2"/>
      <c r="D529" s="2"/>
      <c r="E529" s="2"/>
      <c r="F529" s="2"/>
      <c r="G529" s="2"/>
      <c r="H529" s="2"/>
      <c r="I529" s="4"/>
      <c r="J529" s="4"/>
      <c r="K529" s="4"/>
      <c r="L529" s="4"/>
      <c r="M529" s="2"/>
      <c r="N529" s="2"/>
    </row>
    <row r="530" spans="1:14" x14ac:dyDescent="0.35">
      <c r="A530" s="2"/>
      <c r="B530" s="3"/>
      <c r="C530" s="2"/>
      <c r="D530" s="2"/>
      <c r="E530" s="2"/>
      <c r="F530" s="2"/>
      <c r="G530" s="2"/>
      <c r="H530" s="2"/>
      <c r="I530" s="4"/>
      <c r="J530" s="4"/>
      <c r="K530" s="4"/>
      <c r="L530" s="4"/>
      <c r="M530" s="2"/>
      <c r="N530" s="2"/>
    </row>
    <row r="531" spans="1:14" x14ac:dyDescent="0.35">
      <c r="A531" s="2"/>
      <c r="B531" s="3"/>
      <c r="C531" s="2"/>
      <c r="D531" s="2"/>
      <c r="E531" s="2"/>
      <c r="F531" s="2"/>
      <c r="G531" s="2"/>
      <c r="H531" s="2"/>
      <c r="I531" s="4"/>
      <c r="J531" s="4"/>
      <c r="K531" s="4"/>
      <c r="L531" s="4"/>
      <c r="M531" s="2"/>
      <c r="N531" s="2"/>
    </row>
    <row r="532" spans="1:14" x14ac:dyDescent="0.35">
      <c r="A532" s="2"/>
      <c r="B532" s="3"/>
      <c r="C532" s="2"/>
      <c r="D532" s="2"/>
      <c r="E532" s="2"/>
      <c r="F532" s="2"/>
      <c r="G532" s="2"/>
      <c r="H532" s="2"/>
      <c r="I532" s="4"/>
      <c r="J532" s="4"/>
      <c r="K532" s="4"/>
      <c r="L532" s="4"/>
      <c r="M532" s="2"/>
      <c r="N532" s="2"/>
    </row>
    <row r="533" spans="1:14" x14ac:dyDescent="0.35">
      <c r="A533" s="2"/>
      <c r="B533" s="3"/>
      <c r="C533" s="2"/>
      <c r="D533" s="2"/>
      <c r="E533" s="2"/>
      <c r="F533" s="2"/>
      <c r="G533" s="2"/>
      <c r="H533" s="2"/>
      <c r="I533" s="4"/>
      <c r="J533" s="4"/>
      <c r="K533" s="4"/>
      <c r="L533" s="4"/>
      <c r="M533" s="2"/>
      <c r="N533" s="2"/>
    </row>
    <row r="534" spans="1:14" x14ac:dyDescent="0.35">
      <c r="A534" s="2"/>
      <c r="B534" s="3"/>
      <c r="C534" s="2"/>
      <c r="D534" s="2"/>
      <c r="E534" s="2"/>
      <c r="F534" s="2"/>
      <c r="G534" s="2"/>
      <c r="H534" s="2"/>
      <c r="I534" s="4"/>
      <c r="J534" s="4"/>
      <c r="K534" s="4"/>
      <c r="L534" s="4"/>
      <c r="M534" s="2"/>
      <c r="N534" s="2"/>
    </row>
    <row r="535" spans="1:14" x14ac:dyDescent="0.35">
      <c r="A535" s="2"/>
      <c r="B535" s="3"/>
      <c r="C535" s="2"/>
      <c r="D535" s="2"/>
      <c r="E535" s="2"/>
      <c r="F535" s="2"/>
      <c r="G535" s="2"/>
      <c r="H535" s="2"/>
      <c r="I535" s="4"/>
      <c r="J535" s="4"/>
      <c r="K535" s="4"/>
      <c r="L535" s="4"/>
      <c r="M535" s="2"/>
      <c r="N535" s="2"/>
    </row>
    <row r="536" spans="1:14" x14ac:dyDescent="0.35">
      <c r="A536" s="2"/>
      <c r="B536" s="3"/>
      <c r="C536" s="2"/>
      <c r="D536" s="2"/>
      <c r="E536" s="2"/>
      <c r="F536" s="2"/>
      <c r="G536" s="2"/>
      <c r="H536" s="2"/>
      <c r="I536" s="4"/>
      <c r="J536" s="4"/>
      <c r="K536" s="4"/>
      <c r="L536" s="4"/>
      <c r="M536" s="2"/>
      <c r="N536" s="2"/>
    </row>
    <row r="537" spans="1:14" x14ac:dyDescent="0.35">
      <c r="A537" s="2"/>
      <c r="B537" s="3"/>
      <c r="C537" s="2"/>
      <c r="D537" s="2"/>
      <c r="E537" s="2"/>
      <c r="F537" s="2"/>
      <c r="G537" s="2"/>
      <c r="H537" s="2"/>
      <c r="I537" s="4"/>
      <c r="J537" s="4"/>
      <c r="K537" s="4"/>
      <c r="L537" s="4"/>
      <c r="M537" s="2"/>
      <c r="N537" s="2"/>
    </row>
    <row r="538" spans="1:14" x14ac:dyDescent="0.35">
      <c r="A538" s="2"/>
      <c r="B538" s="3"/>
      <c r="C538" s="2"/>
      <c r="D538" s="2"/>
      <c r="E538" s="2"/>
      <c r="F538" s="2"/>
      <c r="G538" s="2"/>
      <c r="H538" s="2"/>
      <c r="I538" s="4"/>
      <c r="J538" s="4"/>
      <c r="K538" s="4"/>
      <c r="L538" s="4"/>
      <c r="M538" s="2"/>
      <c r="N538" s="2"/>
    </row>
    <row r="539" spans="1:14" x14ac:dyDescent="0.35">
      <c r="A539" s="2"/>
      <c r="B539" s="3"/>
      <c r="C539" s="2"/>
      <c r="D539" s="2"/>
      <c r="E539" s="2"/>
      <c r="F539" s="2"/>
      <c r="G539" s="2"/>
      <c r="H539" s="2"/>
      <c r="I539" s="4"/>
      <c r="J539" s="4"/>
      <c r="K539" s="4"/>
      <c r="L539" s="4"/>
      <c r="M539" s="2"/>
      <c r="N539" s="2"/>
    </row>
    <row r="540" spans="1:14" x14ac:dyDescent="0.35">
      <c r="A540" s="2"/>
      <c r="B540" s="3"/>
      <c r="C540" s="2"/>
      <c r="D540" s="2"/>
      <c r="E540" s="2"/>
      <c r="F540" s="2"/>
      <c r="G540" s="2"/>
      <c r="H540" s="2"/>
      <c r="I540" s="4"/>
      <c r="J540" s="4"/>
      <c r="K540" s="4"/>
      <c r="L540" s="4"/>
      <c r="M540" s="2"/>
      <c r="N540" s="2"/>
    </row>
    <row r="541" spans="1:14" x14ac:dyDescent="0.35">
      <c r="A541" s="2"/>
      <c r="B541" s="3"/>
      <c r="C541" s="2"/>
      <c r="D541" s="2"/>
      <c r="E541" s="2"/>
      <c r="F541" s="2"/>
      <c r="G541" s="2"/>
      <c r="H541" s="2"/>
      <c r="I541" s="4"/>
      <c r="J541" s="4"/>
      <c r="K541" s="4"/>
      <c r="L541" s="4"/>
      <c r="M541" s="2"/>
      <c r="N541" s="2"/>
    </row>
    <row r="542" spans="1:14" x14ac:dyDescent="0.35">
      <c r="A542" s="2"/>
      <c r="B542" s="3"/>
      <c r="C542" s="2"/>
      <c r="D542" s="2"/>
      <c r="E542" s="2"/>
      <c r="F542" s="2"/>
      <c r="G542" s="2"/>
      <c r="H542" s="2"/>
      <c r="I542" s="4"/>
      <c r="J542" s="4"/>
      <c r="K542" s="4"/>
      <c r="L542" s="4"/>
      <c r="M542" s="2"/>
      <c r="N542" s="2"/>
    </row>
    <row r="543" spans="1:14" x14ac:dyDescent="0.35">
      <c r="A543" s="2"/>
      <c r="B543" s="3"/>
      <c r="C543" s="2"/>
      <c r="D543" s="2"/>
      <c r="E543" s="2"/>
      <c r="F543" s="2"/>
      <c r="G543" s="2"/>
      <c r="H543" s="2"/>
      <c r="I543" s="4"/>
      <c r="J543" s="4"/>
      <c r="K543" s="4"/>
      <c r="L543" s="4"/>
      <c r="M543" s="2"/>
      <c r="N543" s="2"/>
    </row>
    <row r="544" spans="1:14" x14ac:dyDescent="0.35">
      <c r="A544" s="2"/>
      <c r="B544" s="3"/>
      <c r="C544" s="2"/>
      <c r="D544" s="2"/>
      <c r="E544" s="2"/>
      <c r="F544" s="2"/>
      <c r="G544" s="2"/>
      <c r="H544" s="2"/>
      <c r="I544" s="4"/>
      <c r="J544" s="4"/>
      <c r="K544" s="4"/>
      <c r="L544" s="4"/>
      <c r="M544" s="2"/>
      <c r="N544" s="2"/>
    </row>
    <row r="545" spans="1:14" x14ac:dyDescent="0.35">
      <c r="A545" s="2"/>
      <c r="B545" s="3"/>
      <c r="C545" s="2"/>
      <c r="D545" s="2"/>
      <c r="E545" s="2"/>
      <c r="F545" s="2"/>
      <c r="G545" s="2"/>
      <c r="H545" s="2"/>
      <c r="I545" s="4"/>
      <c r="J545" s="4"/>
      <c r="K545" s="4"/>
      <c r="L545" s="4"/>
      <c r="M545" s="2"/>
      <c r="N545" s="2"/>
    </row>
    <row r="546" spans="1:14" x14ac:dyDescent="0.35">
      <c r="A546" s="2"/>
      <c r="B546" s="3"/>
      <c r="C546" s="2"/>
      <c r="D546" s="2"/>
      <c r="E546" s="2"/>
      <c r="F546" s="2"/>
      <c r="G546" s="2"/>
      <c r="H546" s="2"/>
      <c r="I546" s="4"/>
      <c r="J546" s="4"/>
      <c r="K546" s="4"/>
      <c r="L546" s="4"/>
      <c r="M546" s="2"/>
      <c r="N546" s="2"/>
    </row>
    <row r="547" spans="1:14" x14ac:dyDescent="0.35">
      <c r="A547" s="2"/>
      <c r="B547" s="3"/>
      <c r="C547" s="2"/>
      <c r="D547" s="2"/>
      <c r="E547" s="2"/>
      <c r="F547" s="2"/>
      <c r="G547" s="2"/>
      <c r="H547" s="2"/>
      <c r="I547" s="4"/>
      <c r="J547" s="4"/>
      <c r="K547" s="4"/>
      <c r="L547" s="4"/>
      <c r="M547" s="2"/>
      <c r="N547" s="2"/>
    </row>
    <row r="548" spans="1:14" x14ac:dyDescent="0.35">
      <c r="A548" s="2"/>
      <c r="B548" s="3"/>
      <c r="C548" s="2"/>
      <c r="D548" s="2"/>
      <c r="E548" s="2"/>
      <c r="F548" s="2"/>
      <c r="G548" s="2"/>
      <c r="H548" s="2"/>
      <c r="I548" s="4"/>
      <c r="J548" s="4"/>
      <c r="K548" s="4"/>
      <c r="L548" s="4"/>
      <c r="M548" s="2"/>
      <c r="N548" s="2"/>
    </row>
    <row r="549" spans="1:14" x14ac:dyDescent="0.35">
      <c r="A549" s="2"/>
      <c r="B549" s="3"/>
      <c r="C549" s="2"/>
      <c r="D549" s="2"/>
      <c r="E549" s="2"/>
      <c r="F549" s="2"/>
      <c r="G549" s="2"/>
      <c r="H549" s="2"/>
      <c r="I549" s="4"/>
      <c r="J549" s="4"/>
      <c r="K549" s="4"/>
      <c r="L549" s="4"/>
      <c r="M549" s="2"/>
      <c r="N549" s="2"/>
    </row>
    <row r="550" spans="1:14" x14ac:dyDescent="0.35">
      <c r="A550" s="2"/>
      <c r="B550" s="3"/>
      <c r="C550" s="2"/>
      <c r="D550" s="2"/>
      <c r="E550" s="2"/>
      <c r="F550" s="2"/>
      <c r="G550" s="2"/>
      <c r="H550" s="2"/>
      <c r="I550" s="4"/>
      <c r="J550" s="4"/>
      <c r="K550" s="4"/>
      <c r="L550" s="4"/>
      <c r="M550" s="2"/>
      <c r="N550" s="2"/>
    </row>
    <row r="551" spans="1:14" x14ac:dyDescent="0.35">
      <c r="A551" s="2"/>
      <c r="B551" s="3"/>
      <c r="C551" s="2"/>
      <c r="D551" s="2"/>
      <c r="E551" s="2"/>
      <c r="F551" s="2"/>
      <c r="G551" s="2"/>
      <c r="H551" s="2"/>
      <c r="I551" s="4"/>
      <c r="J551" s="4"/>
      <c r="K551" s="4"/>
      <c r="L551" s="4"/>
      <c r="M551" s="2"/>
      <c r="N551" s="2"/>
    </row>
  </sheetData>
  <dataValidations count="1">
    <dataValidation type="whole" operator="equal" allowBlank="1" showInputMessage="1" showErrorMessage="1" sqref="F1:F1048576" xr:uid="{BC33384C-B0E0-442F-955F-225C824974DB}">
      <formula1>0</formula1>
    </dataValidation>
  </dataValidations>
  <pageMargins left="0.7" right="0.7" top="0.75" bottom="0.75" header="0.3" footer="0.3"/>
  <ignoredErrors>
    <ignoredError sqref="F2:F501" listDataValidatio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57FD-B2F4-487E-9556-8088CF1E522A}">
  <dimension ref="A1:AD537"/>
  <sheetViews>
    <sheetView tabSelected="1" workbookViewId="0">
      <selection activeCell="M19" sqref="M19"/>
    </sheetView>
  </sheetViews>
  <sheetFormatPr defaultRowHeight="14.5" x14ac:dyDescent="0.35"/>
  <cols>
    <col min="1" max="1" width="16.81640625" bestFit="1" customWidth="1"/>
    <col min="2" max="2" width="12.453125" bestFit="1" customWidth="1"/>
    <col min="3" max="3" width="10.08984375" bestFit="1" customWidth="1"/>
    <col min="4" max="4" width="12.36328125" bestFit="1" customWidth="1"/>
    <col min="5" max="5" width="14.36328125" bestFit="1" customWidth="1"/>
    <col min="6" max="6" width="10.36328125" customWidth="1"/>
    <col min="7" max="7" width="14.36328125" bestFit="1" customWidth="1"/>
    <col min="8" max="8" width="15.26953125" bestFit="1" customWidth="1"/>
    <col min="9" max="9" width="13.1796875" bestFit="1" customWidth="1"/>
    <col min="10" max="10" width="11.6328125" bestFit="1" customWidth="1"/>
    <col min="11" max="11" width="11.453125" bestFit="1" customWidth="1"/>
    <col min="12" max="13" width="9.26953125" bestFit="1" customWidth="1"/>
    <col min="14" max="14" width="10.6328125" bestFit="1" customWidth="1"/>
    <col min="15" max="15" width="9.453125" bestFit="1" customWidth="1"/>
    <col min="16" max="16" width="15.08984375" bestFit="1" customWidth="1"/>
    <col min="17" max="17" width="15.26953125" bestFit="1" customWidth="1"/>
    <col min="18" max="18" width="5.6328125" bestFit="1" customWidth="1"/>
    <col min="19" max="19" width="6.08984375" bestFit="1" customWidth="1"/>
    <col min="20" max="20" width="5.6328125" bestFit="1" customWidth="1"/>
    <col min="21" max="21" width="6.26953125" bestFit="1" customWidth="1"/>
    <col min="22" max="22" width="10.7265625" bestFit="1" customWidth="1"/>
    <col min="23" max="23" width="8.453125" bestFit="1" customWidth="1"/>
    <col min="24" max="24" width="14.36328125" bestFit="1" customWidth="1"/>
    <col min="25" max="25" width="15.26953125" bestFit="1" customWidth="1"/>
    <col min="26" max="29" width="7.36328125" bestFit="1" customWidth="1"/>
    <col min="30" max="30" width="10.7265625" bestFit="1" customWidth="1"/>
    <col min="31" max="32" width="6.36328125" bestFit="1" customWidth="1"/>
    <col min="33" max="33" width="11.6328125" bestFit="1" customWidth="1"/>
    <col min="34" max="34" width="6.36328125" bestFit="1" customWidth="1"/>
    <col min="35" max="35" width="7.36328125" bestFit="1" customWidth="1"/>
    <col min="36" max="36" width="6.36328125" bestFit="1" customWidth="1"/>
    <col min="37" max="37" width="8.7265625" bestFit="1" customWidth="1"/>
    <col min="38" max="40" width="6.36328125" bestFit="1" customWidth="1"/>
    <col min="41" max="41" width="10.81640625" bestFit="1" customWidth="1"/>
    <col min="42" max="47" width="6.36328125" bestFit="1" customWidth="1"/>
    <col min="48" max="48" width="5.36328125" bestFit="1" customWidth="1"/>
    <col min="49" max="49" width="7.453125" bestFit="1" customWidth="1"/>
    <col min="50" max="50" width="7.36328125" bestFit="1" customWidth="1"/>
    <col min="51" max="52" width="6.36328125" bestFit="1" customWidth="1"/>
    <col min="53" max="53" width="7" bestFit="1" customWidth="1"/>
    <col min="54" max="56" width="6.36328125" bestFit="1" customWidth="1"/>
    <col min="57" max="57" width="10.7265625" bestFit="1" customWidth="1"/>
    <col min="58" max="63" width="9.453125" bestFit="1" customWidth="1"/>
    <col min="64" max="72" width="8.453125" bestFit="1" customWidth="1"/>
    <col min="73" max="94" width="9.453125" bestFit="1" customWidth="1"/>
    <col min="95" max="103" width="8.453125" bestFit="1" customWidth="1"/>
    <col min="104" max="124" width="9.453125" bestFit="1" customWidth="1"/>
    <col min="125" max="133" width="8.453125" bestFit="1" customWidth="1"/>
    <col min="134" max="138" width="9.453125" bestFit="1" customWidth="1"/>
    <col min="139" max="139" width="10.7265625" bestFit="1" customWidth="1"/>
  </cols>
  <sheetData>
    <row r="1" spans="1:30" ht="14.5" customHeight="1" x14ac:dyDescent="0.35">
      <c r="A1" s="32" t="s">
        <v>382</v>
      </c>
      <c r="B1" s="32"/>
      <c r="D1" s="32" t="s">
        <v>383</v>
      </c>
      <c r="E1" s="32"/>
      <c r="G1" s="33" t="s">
        <v>385</v>
      </c>
      <c r="H1" s="33"/>
      <c r="I1" s="33"/>
      <c r="J1" s="33"/>
      <c r="K1" s="33"/>
      <c r="L1" s="33"/>
      <c r="M1" s="33"/>
      <c r="N1" s="33"/>
      <c r="P1" s="33" t="s">
        <v>391</v>
      </c>
      <c r="Q1" s="33"/>
      <c r="R1" s="33"/>
      <c r="S1" s="33"/>
      <c r="T1" s="33"/>
      <c r="U1" s="33"/>
      <c r="V1" s="33"/>
      <c r="X1" s="35" t="s">
        <v>392</v>
      </c>
      <c r="Y1" s="35"/>
      <c r="Z1" s="35"/>
      <c r="AA1" s="35"/>
      <c r="AB1" s="35"/>
      <c r="AC1" s="35"/>
      <c r="AD1" s="35"/>
    </row>
    <row r="2" spans="1:30" ht="14.5" customHeight="1" x14ac:dyDescent="0.35">
      <c r="A2" s="32"/>
      <c r="B2" s="32"/>
      <c r="D2" s="32"/>
      <c r="E2" s="32"/>
      <c r="G2" s="33"/>
      <c r="H2" s="33"/>
      <c r="I2" s="33"/>
      <c r="J2" s="33"/>
      <c r="K2" s="33"/>
      <c r="L2" s="33"/>
      <c r="M2" s="33"/>
      <c r="N2" s="33"/>
      <c r="P2" s="34"/>
      <c r="Q2" s="34"/>
      <c r="R2" s="34"/>
      <c r="S2" s="34"/>
      <c r="T2" s="34"/>
      <c r="U2" s="34"/>
      <c r="V2" s="34"/>
      <c r="X2" s="35"/>
      <c r="Y2" s="35"/>
      <c r="Z2" s="35"/>
      <c r="AA2" s="35"/>
      <c r="AB2" s="35"/>
      <c r="AC2" s="35"/>
      <c r="AD2" s="35"/>
    </row>
    <row r="3" spans="1:30" x14ac:dyDescent="0.35">
      <c r="A3" s="10" t="s">
        <v>4</v>
      </c>
      <c r="B3" s="8" t="s" vm="1">
        <v>380</v>
      </c>
      <c r="D3" s="7" t="s">
        <v>3</v>
      </c>
      <c r="E3" s="6" t="s" vm="2">
        <v>380</v>
      </c>
      <c r="G3" s="7" t="s">
        <v>12</v>
      </c>
      <c r="H3" s="6" t="s" vm="3">
        <v>380</v>
      </c>
      <c r="P3" s="7" t="s">
        <v>386</v>
      </c>
      <c r="Q3" s="7" t="s">
        <v>384</v>
      </c>
      <c r="R3" s="6"/>
      <c r="S3" s="6"/>
      <c r="T3" s="6"/>
      <c r="U3" s="6"/>
      <c r="V3" s="6"/>
      <c r="X3" s="7" t="s">
        <v>4</v>
      </c>
      <c r="Y3" s="6" t="s" vm="1">
        <v>380</v>
      </c>
    </row>
    <row r="4" spans="1:30" x14ac:dyDescent="0.35">
      <c r="A4" s="13"/>
      <c r="B4" s="13"/>
      <c r="P4" s="6"/>
      <c r="Q4" s="14" t="s">
        <v>387</v>
      </c>
      <c r="R4" s="14" t="s">
        <v>388</v>
      </c>
      <c r="S4" s="14" t="s">
        <v>389</v>
      </c>
      <c r="T4" s="14" t="s">
        <v>390</v>
      </c>
      <c r="U4" s="14" t="s">
        <v>368</v>
      </c>
      <c r="V4" s="14" t="s">
        <v>378</v>
      </c>
      <c r="X4" s="7" t="s">
        <v>2</v>
      </c>
      <c r="Y4" s="6" t="s" vm="4">
        <v>380</v>
      </c>
    </row>
    <row r="5" spans="1:30" x14ac:dyDescent="0.35">
      <c r="A5" s="10" t="s">
        <v>376</v>
      </c>
      <c r="B5" s="11" t="s">
        <v>379</v>
      </c>
      <c r="D5" s="7" t="s">
        <v>376</v>
      </c>
      <c r="E5" s="6" t="s">
        <v>379</v>
      </c>
      <c r="G5" s="7" t="s">
        <v>379</v>
      </c>
      <c r="H5" s="7" t="s">
        <v>384</v>
      </c>
      <c r="I5" s="6"/>
      <c r="J5" s="6"/>
      <c r="K5" s="6"/>
      <c r="L5" s="6"/>
      <c r="M5" s="6"/>
      <c r="N5" s="6"/>
      <c r="P5" s="7" t="s">
        <v>376</v>
      </c>
      <c r="Q5" s="6"/>
      <c r="R5" s="6"/>
      <c r="S5" s="6"/>
      <c r="T5" s="6"/>
      <c r="U5" s="6"/>
      <c r="V5" s="14"/>
      <c r="X5" s="7" t="s">
        <v>3</v>
      </c>
      <c r="Y5" s="6" t="s" vm="2">
        <v>380</v>
      </c>
    </row>
    <row r="6" spans="1:30" x14ac:dyDescent="0.35">
      <c r="A6" s="8" t="s">
        <v>340</v>
      </c>
      <c r="B6" s="12">
        <v>146051.41</v>
      </c>
      <c r="D6" s="19" t="s">
        <v>365</v>
      </c>
      <c r="E6" s="9">
        <v>296386.39</v>
      </c>
      <c r="G6" s="7" t="s">
        <v>376</v>
      </c>
      <c r="H6" s="6" t="s">
        <v>377</v>
      </c>
      <c r="I6" s="6" t="s">
        <v>346</v>
      </c>
      <c r="J6" s="6" t="s">
        <v>349</v>
      </c>
      <c r="K6" s="6" t="s">
        <v>350</v>
      </c>
      <c r="L6" s="6" t="s">
        <v>348</v>
      </c>
      <c r="M6" s="6" t="s">
        <v>347</v>
      </c>
      <c r="N6" s="6" t="s">
        <v>378</v>
      </c>
      <c r="P6" s="8" t="s">
        <v>340</v>
      </c>
      <c r="Q6" s="6">
        <v>139</v>
      </c>
      <c r="R6" s="6">
        <v>506</v>
      </c>
      <c r="S6" s="6">
        <v>757</v>
      </c>
      <c r="T6" s="6">
        <v>509</v>
      </c>
      <c r="U6" s="6">
        <v>297</v>
      </c>
      <c r="V6" s="6">
        <v>2208</v>
      </c>
    </row>
    <row r="7" spans="1:30" x14ac:dyDescent="0.35">
      <c r="A7" s="8" t="s">
        <v>344</v>
      </c>
      <c r="B7" s="12">
        <v>246055.6</v>
      </c>
      <c r="D7" s="19" t="s">
        <v>374</v>
      </c>
      <c r="E7" s="9">
        <v>249518.48</v>
      </c>
      <c r="G7" s="8" t="s">
        <v>352</v>
      </c>
      <c r="H7" s="9"/>
      <c r="I7" s="9">
        <v>12035.04</v>
      </c>
      <c r="J7" s="9">
        <v>45718.859999999993</v>
      </c>
      <c r="K7" s="9">
        <v>81480.739999999991</v>
      </c>
      <c r="L7" s="9">
        <v>69654.509999999995</v>
      </c>
      <c r="M7" s="9">
        <v>62990.299999999996</v>
      </c>
      <c r="N7" s="9">
        <v>271879.45</v>
      </c>
      <c r="P7" s="8" t="s">
        <v>344</v>
      </c>
      <c r="Q7" s="6">
        <v>1395</v>
      </c>
      <c r="R7" s="6">
        <v>1094</v>
      </c>
      <c r="S7" s="6">
        <v>321</v>
      </c>
      <c r="T7" s="6">
        <v>733</v>
      </c>
      <c r="U7" s="6">
        <v>399</v>
      </c>
      <c r="V7" s="6">
        <v>3942</v>
      </c>
      <c r="X7" s="7" t="s">
        <v>379</v>
      </c>
      <c r="Y7" s="7" t="s">
        <v>384</v>
      </c>
      <c r="Z7" s="6"/>
      <c r="AA7" s="6"/>
      <c r="AB7" s="6"/>
      <c r="AC7" s="6"/>
      <c r="AD7" s="6"/>
    </row>
    <row r="8" spans="1:30" x14ac:dyDescent="0.35">
      <c r="A8" s="8" t="s">
        <v>338</v>
      </c>
      <c r="B8" s="12">
        <v>273269.47000000003</v>
      </c>
      <c r="D8" s="19" t="s">
        <v>366</v>
      </c>
      <c r="E8" s="9">
        <v>439235.92999999993</v>
      </c>
      <c r="G8" s="8" t="s">
        <v>351</v>
      </c>
      <c r="H8" s="9">
        <v>22953.24</v>
      </c>
      <c r="I8" s="9">
        <v>122995.99</v>
      </c>
      <c r="J8" s="9">
        <v>24177.699999999997</v>
      </c>
      <c r="K8" s="9">
        <v>31496.549999999996</v>
      </c>
      <c r="L8" s="9">
        <v>114927.32</v>
      </c>
      <c r="M8" s="9">
        <v>8466.4700000000012</v>
      </c>
      <c r="N8" s="9">
        <v>325017.27</v>
      </c>
      <c r="P8" s="8" t="s">
        <v>338</v>
      </c>
      <c r="Q8" s="6">
        <v>698</v>
      </c>
      <c r="R8" s="6">
        <v>284</v>
      </c>
      <c r="S8" s="6">
        <v>1223</v>
      </c>
      <c r="T8" s="6">
        <v>933</v>
      </c>
      <c r="U8" s="6">
        <v>294</v>
      </c>
      <c r="V8" s="6">
        <v>3432</v>
      </c>
      <c r="X8" s="7" t="s">
        <v>376</v>
      </c>
      <c r="Y8" s="6" t="s">
        <v>387</v>
      </c>
      <c r="Z8" s="6" t="s">
        <v>388</v>
      </c>
      <c r="AA8" s="6" t="s">
        <v>389</v>
      </c>
      <c r="AB8" s="6" t="s">
        <v>390</v>
      </c>
      <c r="AC8" s="6" t="s">
        <v>368</v>
      </c>
      <c r="AD8" s="14" t="s">
        <v>378</v>
      </c>
    </row>
    <row r="9" spans="1:30" x14ac:dyDescent="0.35">
      <c r="A9" s="8" t="s">
        <v>345</v>
      </c>
      <c r="B9" s="12">
        <v>192643.3</v>
      </c>
      <c r="D9" s="19" t="s">
        <v>364</v>
      </c>
      <c r="E9" s="9">
        <v>325154.31999999995</v>
      </c>
      <c r="G9" s="8" t="s">
        <v>353</v>
      </c>
      <c r="H9" s="9">
        <v>28605.72</v>
      </c>
      <c r="I9" s="9">
        <v>84221.110000000015</v>
      </c>
      <c r="J9" s="9">
        <v>68101.899999999994</v>
      </c>
      <c r="K9" s="9">
        <v>29638.26</v>
      </c>
      <c r="L9" s="9">
        <v>223142.59</v>
      </c>
      <c r="M9" s="9">
        <v>72926.430000000008</v>
      </c>
      <c r="N9" s="9">
        <v>506636.00999999995</v>
      </c>
      <c r="P9" s="8" t="s">
        <v>345</v>
      </c>
      <c r="Q9" s="6">
        <v>578</v>
      </c>
      <c r="R9" s="6">
        <v>373</v>
      </c>
      <c r="S9" s="6">
        <v>592</v>
      </c>
      <c r="T9" s="6">
        <v>364</v>
      </c>
      <c r="U9" s="6">
        <v>180</v>
      </c>
      <c r="V9" s="6">
        <v>2087</v>
      </c>
      <c r="X9" s="8" t="s">
        <v>377</v>
      </c>
      <c r="Y9" s="9">
        <v>12403.17</v>
      </c>
      <c r="Z9" s="9">
        <v>18468.78</v>
      </c>
      <c r="AA9" s="9">
        <v>875.14</v>
      </c>
      <c r="AB9" s="9"/>
      <c r="AC9" s="9">
        <v>10286.64</v>
      </c>
      <c r="AD9" s="9">
        <v>42033.729999999996</v>
      </c>
    </row>
    <row r="10" spans="1:30" x14ac:dyDescent="0.35">
      <c r="A10" s="8" t="s">
        <v>343</v>
      </c>
      <c r="B10" s="12">
        <v>100176.9</v>
      </c>
      <c r="D10" s="19" t="s">
        <v>368</v>
      </c>
      <c r="E10" s="9">
        <v>175601.94999999998</v>
      </c>
      <c r="G10" s="8" t="s">
        <v>354</v>
      </c>
      <c r="H10" s="9">
        <v>44254.69</v>
      </c>
      <c r="I10" s="9">
        <v>80621.38</v>
      </c>
      <c r="J10" s="9">
        <v>50339.430000000008</v>
      </c>
      <c r="K10" s="9">
        <v>29561.910000000003</v>
      </c>
      <c r="L10" s="9">
        <v>81619.600000000006</v>
      </c>
      <c r="M10" s="9">
        <v>95967.33</v>
      </c>
      <c r="N10" s="9">
        <v>382364.33999999997</v>
      </c>
      <c r="P10" s="8" t="s">
        <v>343</v>
      </c>
      <c r="Q10" s="6">
        <v>236</v>
      </c>
      <c r="R10" s="6">
        <v>479</v>
      </c>
      <c r="S10" s="6">
        <v>255</v>
      </c>
      <c r="T10" s="6">
        <v>298</v>
      </c>
      <c r="U10" s="6">
        <v>738</v>
      </c>
      <c r="V10" s="6">
        <v>2006</v>
      </c>
      <c r="X10" s="8" t="s">
        <v>356</v>
      </c>
      <c r="Y10" s="9">
        <v>19227.830000000002</v>
      </c>
      <c r="Z10" s="9">
        <v>22503.33</v>
      </c>
      <c r="AA10" s="9">
        <v>48393.919999999998</v>
      </c>
      <c r="AB10" s="9">
        <v>64162.33</v>
      </c>
      <c r="AC10" s="9">
        <v>56005.46</v>
      </c>
      <c r="AD10" s="9">
        <v>210292.87</v>
      </c>
    </row>
    <row r="11" spans="1:30" x14ac:dyDescent="0.35">
      <c r="A11" s="8" t="s">
        <v>341</v>
      </c>
      <c r="B11" s="12">
        <v>190974.97</v>
      </c>
      <c r="D11" s="15" t="s">
        <v>378</v>
      </c>
      <c r="E11" s="17">
        <v>1485897.0699999998</v>
      </c>
      <c r="G11" s="15" t="s">
        <v>378</v>
      </c>
      <c r="H11" s="17">
        <v>95813.650000000009</v>
      </c>
      <c r="I11" s="17">
        <v>299873.51999999996</v>
      </c>
      <c r="J11" s="17">
        <v>188337.88999999998</v>
      </c>
      <c r="K11" s="17">
        <v>172177.46000000002</v>
      </c>
      <c r="L11" s="17">
        <v>489344.02</v>
      </c>
      <c r="M11" s="17">
        <v>240350.52999999997</v>
      </c>
      <c r="N11" s="17">
        <v>1485897.0699999998</v>
      </c>
      <c r="P11" s="8" t="s">
        <v>341</v>
      </c>
      <c r="Q11" s="6">
        <v>929</v>
      </c>
      <c r="R11" s="6">
        <v>492</v>
      </c>
      <c r="S11" s="6">
        <v>603</v>
      </c>
      <c r="T11" s="6">
        <v>56</v>
      </c>
      <c r="U11" s="6">
        <v>261</v>
      </c>
      <c r="V11" s="6">
        <v>2341</v>
      </c>
      <c r="X11" s="8" t="s">
        <v>357</v>
      </c>
      <c r="Y11" s="9">
        <v>33859.24</v>
      </c>
      <c r="Z11" s="9">
        <v>11479.84</v>
      </c>
      <c r="AA11" s="9">
        <v>75070.84</v>
      </c>
      <c r="AB11" s="9">
        <v>23701.68</v>
      </c>
      <c r="AC11" s="9">
        <v>35285.800000000003</v>
      </c>
      <c r="AD11" s="9">
        <v>179397.4</v>
      </c>
    </row>
    <row r="12" spans="1:30" x14ac:dyDescent="0.35">
      <c r="A12" s="8" t="s">
        <v>339</v>
      </c>
      <c r="B12" s="12">
        <v>251061.65</v>
      </c>
      <c r="P12" s="8" t="s">
        <v>339</v>
      </c>
      <c r="Q12" s="6">
        <v>631</v>
      </c>
      <c r="R12" s="6">
        <v>777</v>
      </c>
      <c r="S12" s="6">
        <v>581</v>
      </c>
      <c r="T12" s="6">
        <v>976</v>
      </c>
      <c r="U12" s="6"/>
      <c r="V12" s="6">
        <v>2965</v>
      </c>
      <c r="X12" s="8" t="s">
        <v>359</v>
      </c>
      <c r="Y12" s="9">
        <v>87649.410000000018</v>
      </c>
      <c r="Z12" s="9">
        <v>43325.990000000005</v>
      </c>
      <c r="AA12" s="9">
        <v>27716.95</v>
      </c>
      <c r="AB12" s="9">
        <v>4620.76</v>
      </c>
      <c r="AC12" s="9">
        <v>23050.3</v>
      </c>
      <c r="AD12" s="9">
        <v>186363.41</v>
      </c>
    </row>
    <row r="13" spans="1:30" x14ac:dyDescent="0.35">
      <c r="A13" s="8" t="s">
        <v>342</v>
      </c>
      <c r="B13" s="12">
        <v>85663.76999999999</v>
      </c>
      <c r="P13" s="8" t="s">
        <v>342</v>
      </c>
      <c r="Q13" s="6">
        <v>403</v>
      </c>
      <c r="R13" s="6">
        <v>410</v>
      </c>
      <c r="S13" s="6">
        <v>124</v>
      </c>
      <c r="T13" s="6">
        <v>329</v>
      </c>
      <c r="U13" s="6">
        <v>0</v>
      </c>
      <c r="V13" s="6">
        <v>1266</v>
      </c>
      <c r="X13" s="8" t="s">
        <v>355</v>
      </c>
      <c r="Y13" s="9">
        <v>115087.76999999999</v>
      </c>
      <c r="Z13" s="9"/>
      <c r="AA13" s="9">
        <v>76667.53</v>
      </c>
      <c r="AB13" s="9">
        <v>25515.329999999994</v>
      </c>
      <c r="AC13" s="9"/>
      <c r="AD13" s="9">
        <v>217270.63</v>
      </c>
    </row>
    <row r="14" spans="1:30" x14ac:dyDescent="0.35">
      <c r="A14" s="15" t="s">
        <v>378</v>
      </c>
      <c r="B14" s="18">
        <v>1485897.0699999998</v>
      </c>
      <c r="P14" s="15" t="s">
        <v>378</v>
      </c>
      <c r="Q14" s="16">
        <v>5009</v>
      </c>
      <c r="R14" s="16">
        <v>4415</v>
      </c>
      <c r="S14" s="16">
        <v>4456</v>
      </c>
      <c r="T14" s="16">
        <v>4198</v>
      </c>
      <c r="U14" s="16">
        <v>2169</v>
      </c>
      <c r="V14" s="16">
        <v>20247</v>
      </c>
      <c r="X14" s="8" t="s">
        <v>358</v>
      </c>
      <c r="Y14" s="9">
        <v>60057.4</v>
      </c>
      <c r="Z14" s="9">
        <v>65907.579999999987</v>
      </c>
      <c r="AA14" s="9"/>
      <c r="AB14" s="9">
        <v>69147.760000000009</v>
      </c>
      <c r="AC14" s="9">
        <v>14265.24</v>
      </c>
      <c r="AD14" s="9">
        <v>209377.98</v>
      </c>
    </row>
    <row r="15" spans="1:30" x14ac:dyDescent="0.35">
      <c r="X15" s="8" t="s">
        <v>360</v>
      </c>
      <c r="Y15" s="9">
        <v>13159.48</v>
      </c>
      <c r="Z15" s="9">
        <v>79594</v>
      </c>
      <c r="AA15" s="9">
        <v>43462.94</v>
      </c>
      <c r="AB15" s="9">
        <v>28689.02</v>
      </c>
      <c r="AC15" s="9">
        <v>21415.96</v>
      </c>
      <c r="AD15" s="9">
        <v>186321.4</v>
      </c>
    </row>
    <row r="16" spans="1:30" ht="15" thickBot="1" x14ac:dyDescent="0.4">
      <c r="X16" s="8" t="s">
        <v>361</v>
      </c>
      <c r="Y16" s="9">
        <v>97791.63</v>
      </c>
      <c r="Z16" s="9">
        <v>8238.9599999999991</v>
      </c>
      <c r="AA16" s="9">
        <v>52967</v>
      </c>
      <c r="AB16" s="9">
        <v>80549.510000000009</v>
      </c>
      <c r="AC16" s="9">
        <v>15292.55</v>
      </c>
      <c r="AD16" s="9">
        <v>254839.65000000002</v>
      </c>
    </row>
    <row r="17" spans="1:30" ht="19" thickBot="1" x14ac:dyDescent="0.5">
      <c r="A17" s="21" t="s">
        <v>382</v>
      </c>
      <c r="B17" s="21"/>
      <c r="D17" s="31" t="s">
        <v>393</v>
      </c>
      <c r="E17" s="31"/>
      <c r="F17" s="31"/>
      <c r="X17" s="15" t="s">
        <v>378</v>
      </c>
      <c r="Y17" s="17">
        <v>439235.92999999993</v>
      </c>
      <c r="Z17" s="17">
        <v>249518.48</v>
      </c>
      <c r="AA17" s="17">
        <v>325154.31999999995</v>
      </c>
      <c r="AB17" s="17">
        <v>296386.39</v>
      </c>
      <c r="AC17" s="17">
        <v>175601.94999999998</v>
      </c>
      <c r="AD17" s="17">
        <v>1485897.0699999998</v>
      </c>
    </row>
    <row r="18" spans="1:30" ht="15.5" thickTop="1" thickBot="1" x14ac:dyDescent="0.4">
      <c r="D18" s="30" t="s">
        <v>394</v>
      </c>
      <c r="E18" s="30"/>
      <c r="F18" s="22">
        <f>SUM(GETPIVOTDATA("[Measures].[Sum of Revenue]",$A$5))</f>
        <v>1485897.0699999998</v>
      </c>
    </row>
    <row r="19" spans="1:30" ht="15.5" thickTop="1" thickBot="1" x14ac:dyDescent="0.4">
      <c r="A19" t="s">
        <v>399</v>
      </c>
      <c r="B19">
        <v>185737.13375000001</v>
      </c>
      <c r="D19" s="30" t="s">
        <v>395</v>
      </c>
      <c r="E19" s="30"/>
      <c r="F19" s="22">
        <v>977875</v>
      </c>
    </row>
    <row r="20" spans="1:30" ht="15.5" thickTop="1" thickBot="1" x14ac:dyDescent="0.4">
      <c r="A20" t="s">
        <v>400</v>
      </c>
      <c r="B20">
        <v>24839.785966930052</v>
      </c>
      <c r="D20" s="30" t="s">
        <v>396</v>
      </c>
      <c r="E20" s="30"/>
      <c r="F20" s="22">
        <f>AVERAGE(GETPIVOTDATA("[Measures].[Sum of Revenue]",$D$5))</f>
        <v>1485897.0699999998</v>
      </c>
    </row>
    <row r="21" spans="1:30" ht="15.5" thickTop="1" thickBot="1" x14ac:dyDescent="0.4">
      <c r="A21" t="s">
        <v>401</v>
      </c>
      <c r="B21">
        <v>191809.13500000001</v>
      </c>
      <c r="D21" s="30" t="s">
        <v>397</v>
      </c>
      <c r="E21" s="30"/>
      <c r="F21" s="22">
        <f>SUM(GETPIVOTDATA("[Measures].[Sum of Revenue]",$G$5,"[Range].[Category]","[Range].[Category].&amp;[Stationary]"))</f>
        <v>489344.02</v>
      </c>
    </row>
    <row r="22" spans="1:30" ht="15.5" thickTop="1" thickBot="1" x14ac:dyDescent="0.4">
      <c r="A22" t="s">
        <v>402</v>
      </c>
      <c r="B22" t="e">
        <v>#N/A</v>
      </c>
      <c r="D22" s="30" t="s">
        <v>398</v>
      </c>
      <c r="E22" s="30"/>
      <c r="F22" s="22">
        <f>GETPIVOTDATA("[Measures].[Sum of Revenue]",$D$5,"[Range].[Month]","[Range].[Month].&amp;[February]")-GETPIVOTDATA("[Measures].[Sum of Revenue]",$D$5,"[Range].[Month]","[Range].[Month].&amp;[January]")/GETPIVOTDATA("[Measures].[Sum of Revenue]",$D$5,"[Range].[Month]","[Range].[Month].&amp;[January]")</f>
        <v>249517.48</v>
      </c>
    </row>
    <row r="23" spans="1:30" ht="15" thickTop="1" x14ac:dyDescent="0.35">
      <c r="A23" t="s">
        <v>403</v>
      </c>
      <c r="B23">
        <v>70257.524401754737</v>
      </c>
    </row>
    <row r="24" spans="1:30" x14ac:dyDescent="0.35">
      <c r="A24" t="s">
        <v>404</v>
      </c>
      <c r="B24">
        <v>4936119735.0631628</v>
      </c>
    </row>
    <row r="25" spans="1:30" x14ac:dyDescent="0.35">
      <c r="A25" t="s">
        <v>405</v>
      </c>
      <c r="B25">
        <v>-1.4310851692024533</v>
      </c>
    </row>
    <row r="26" spans="1:30" x14ac:dyDescent="0.35">
      <c r="A26" t="s">
        <v>406</v>
      </c>
      <c r="B26">
        <v>-0.28653829468307151</v>
      </c>
    </row>
    <row r="27" spans="1:30" x14ac:dyDescent="0.35">
      <c r="A27" t="s">
        <v>407</v>
      </c>
      <c r="B27">
        <v>187605.70000000004</v>
      </c>
    </row>
    <row r="28" spans="1:30" x14ac:dyDescent="0.35">
      <c r="A28" t="s">
        <v>408</v>
      </c>
      <c r="B28">
        <v>85663.76999999999</v>
      </c>
    </row>
    <row r="29" spans="1:30" x14ac:dyDescent="0.35">
      <c r="A29" t="s">
        <v>409</v>
      </c>
      <c r="B29">
        <v>273269.47000000003</v>
      </c>
    </row>
    <row r="30" spans="1:30" x14ac:dyDescent="0.35">
      <c r="A30" t="s">
        <v>410</v>
      </c>
      <c r="B30">
        <v>1485897.07</v>
      </c>
    </row>
    <row r="31" spans="1:30" ht="15" thickBot="1" x14ac:dyDescent="0.4">
      <c r="A31" s="20" t="s">
        <v>411</v>
      </c>
      <c r="B31" s="20">
        <v>8</v>
      </c>
    </row>
    <row r="537" spans="4:4" x14ac:dyDescent="0.35">
      <c r="D537">
        <f>SUM(Dataset!A502:N551)</f>
        <v>0</v>
      </c>
    </row>
  </sheetData>
  <mergeCells count="11">
    <mergeCell ref="A1:B2"/>
    <mergeCell ref="D1:E2"/>
    <mergeCell ref="G1:N2"/>
    <mergeCell ref="P1:V2"/>
    <mergeCell ref="X1:AD2"/>
    <mergeCell ref="D22:E22"/>
    <mergeCell ref="D18:E18"/>
    <mergeCell ref="D19:E19"/>
    <mergeCell ref="D20:E20"/>
    <mergeCell ref="D17:F17"/>
    <mergeCell ref="D21:E21"/>
  </mergeCells>
  <conditionalFormatting pivot="1" sqref="B6:B13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pivot="1" sqref="E6:E10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{EBFBE34A-3B78-4454-B0A8-0C43E81FCE01}</x14:id>
        </ext>
      </extLst>
    </cfRule>
  </conditionalFormatting>
  <conditionalFormatting pivot="1" sqref="H7:M10">
    <cfRule type="cellIs" dxfId="2" priority="6" operator="greaterThan">
      <formula>"100,00"</formula>
    </cfRule>
  </conditionalFormatting>
  <conditionalFormatting pivot="1" sqref="H7:M10">
    <cfRule type="cellIs" dxfId="1" priority="5" operator="greaterThan">
      <formula>50000</formula>
    </cfRule>
  </conditionalFormatting>
  <conditionalFormatting pivot="1" sqref="Q6:U13">
    <cfRule type="top10" dxfId="0" priority="4" rank="10"/>
  </conditionalFormatting>
  <conditionalFormatting pivot="1" sqref="Y9:AC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{001E8959-F7A4-498B-9B2A-FD06F1764A98}</x14:id>
        </ext>
      </extLst>
    </cfRule>
  </conditionalFormatting>
  <pageMargins left="0.7" right="0.7" top="0.75" bottom="0.75" header="0.3" footer="0.3"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BFBE34A-3B78-4454-B0A8-0C43E81FCE0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E6:E10</xm:sqref>
        </x14:conditionalFormatting>
        <x14:conditionalFormatting xmlns:xm="http://schemas.microsoft.com/office/excel/2006/main" pivot="1">
          <x14:cfRule type="dataBar" id="{001E8959-F7A4-498B-9B2A-FD06F1764A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Y9:AC16</xm:sqref>
        </x14:conditionalFormatting>
      </x14:conditionalFormattings>
    </ext>
    <ext xmlns:x15="http://schemas.microsoft.com/office/spreadsheetml/2010/11/main" uri="{7E03D99C-DC04-49d9-9315-930204A7B6E9}">
      <x15:timelineRefs>
        <x15:timelineRef r:id="rId7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7443-9C8A-4852-B477-7E35EFBEDDEE}">
  <dimension ref="A1"/>
  <sheetViews>
    <sheetView workbookViewId="0">
      <selection activeCell="Q21" sqref="Q21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B61D4D-130A-4699-A292-9BEF5C5BFB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Analysis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matebook</dc:creator>
  <cp:lastModifiedBy>Mark Anthony Bulda</cp:lastModifiedBy>
  <dcterms:created xsi:type="dcterms:W3CDTF">2025-11-10T06:36:38Z</dcterms:created>
  <dcterms:modified xsi:type="dcterms:W3CDTF">2025-11-21T17:31:43Z</dcterms:modified>
</cp:coreProperties>
</file>